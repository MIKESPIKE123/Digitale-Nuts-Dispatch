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polis-my.sharepoint.com/personal/michel_gerits_antwerpen_be/Documents/Apps/WEBSITE VASTSTELLINGEN/"/>
    </mc:Choice>
  </mc:AlternateContent>
  <xr:revisionPtr revIDLastSave="222" documentId="11_E50A5CC497D9AECF8A160BF2738327F644422292" xr6:coauthVersionLast="47" xr6:coauthVersionMax="47" xr10:uidLastSave="{0C39E412-CC1F-4462-8F69-D8393FC64BF5}"/>
  <bookViews>
    <workbookView xWindow="-9570" yWindow="-21680" windowWidth="38560" windowHeight="21040" activeTab="3" xr2:uid="{00000000-000D-0000-FFFF-FFFF00000000}"/>
  </bookViews>
  <sheets>
    <sheet name="Blad2" sheetId="3" r:id="rId1"/>
    <sheet name="Sheet1" sheetId="1" r:id="rId2"/>
    <sheet name="Blad1" sheetId="2" r:id="rId3"/>
    <sheet name="Blad3" sheetId="4" r:id="rId4"/>
  </sheet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43" i="1"/>
  <c r="B3" i="1"/>
  <c r="B4" i="1"/>
  <c r="B5" i="1"/>
  <c r="B6" i="1"/>
  <c r="B7" i="1"/>
  <c r="B8" i="1"/>
  <c r="B9" i="1"/>
  <c r="B10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12" i="1"/>
  <c r="B13" i="1"/>
  <c r="B33" i="1"/>
  <c r="B34" i="1"/>
  <c r="B35" i="1"/>
  <c r="B36" i="1"/>
  <c r="B37" i="1"/>
  <c r="B38" i="1"/>
  <c r="B39" i="1"/>
  <c r="B40" i="1"/>
  <c r="B41" i="1"/>
  <c r="B42" i="1"/>
  <c r="B2" i="1"/>
</calcChain>
</file>

<file path=xl/sharedStrings.xml><?xml version="1.0" encoding="utf-8"?>
<sst xmlns="http://schemas.openxmlformats.org/spreadsheetml/2006/main" count="520" uniqueCount="204">
  <si>
    <t>Epic</t>
  </si>
  <si>
    <t>Feature</t>
  </si>
  <si>
    <t>User Story</t>
  </si>
  <si>
    <t>Acceptatiecriteria</t>
  </si>
  <si>
    <t>Vaststellingen &amp; Workflow</t>
  </si>
  <si>
    <t>Werken &amp; Betrokkenen</t>
  </si>
  <si>
    <t>Ter Plaatse Vaststellingen</t>
  </si>
  <si>
    <t>Afwijkingen &amp; Berekeningen</t>
  </si>
  <si>
    <t>Bijlagen &amp; Extra Info</t>
  </si>
  <si>
    <t>Geschiedenis &amp; Cases</t>
  </si>
  <si>
    <t>GIS-integratie</t>
  </si>
  <si>
    <t>Domeinvergunning-check</t>
  </si>
  <si>
    <t>Opmeetapp-component</t>
  </si>
  <si>
    <t>Extra innovaties</t>
  </si>
  <si>
    <t>Rapportage &amp; Dashboards</t>
  </si>
  <si>
    <t>Start vaststelling</t>
  </si>
  <si>
    <t>Basisinfo</t>
  </si>
  <si>
    <t>Nutsbedrijven &amp; aannemers</t>
  </si>
  <si>
    <t>Contacten</t>
  </si>
  <si>
    <t>Type vaststelling</t>
  </si>
  <si>
    <t>Veiligheid</t>
  </si>
  <si>
    <t>Materiaal &amp; defecten</t>
  </si>
  <si>
    <t>Urgentie</t>
  </si>
  <si>
    <t>Metingen</t>
  </si>
  <si>
    <t>Retributie</t>
  </si>
  <si>
    <t>Relaties</t>
  </si>
  <si>
    <t>Foto’s</t>
  </si>
  <si>
    <t>Documenten</t>
  </si>
  <si>
    <t>Notities</t>
  </si>
  <si>
    <t>CaseId</t>
  </si>
  <si>
    <t>Historiek</t>
  </si>
  <si>
    <t>SPER-zones</t>
  </si>
  <si>
    <t>Materiaaltypes</t>
  </si>
  <si>
    <t>Extra lagen</t>
  </si>
  <si>
    <t>Vergunningstoets</t>
  </si>
  <si>
    <t>Annotatie</t>
  </si>
  <si>
    <t>AI-analyse</t>
  </si>
  <si>
    <t>Offline first</t>
  </si>
  <si>
    <t>Digitale handhaving</t>
  </si>
  <si>
    <t>Toezichters</t>
  </si>
  <si>
    <t>Stad</t>
  </si>
  <si>
    <t>Nutsbedrijven</t>
  </si>
  <si>
    <t>Als toezichter wil ik een vaststelling starten via een GIPOD-nummer, zodat alle info automatisch aan het juiste werk gekoppeld wordt.</t>
  </si>
  <si>
    <t>Als toezichter wil ik een vaststelling starten via GPS-locatie, zodat ik zonder GIPOD toch ter plaatse kan registreren.</t>
  </si>
  <si>
    <t>Als toezichter wil ik automatisch de huidige datum voorgesteld krijgen, zodat registratie sneller gaat.</t>
  </si>
  <si>
    <t>Als stad wil ik dat postcodes en utility types uit centrale config komen, zodat foutieve invoer onmogelijk is.</t>
  </si>
  <si>
    <t>Als toezichter wil ik de betrokken nutsmaatschappij selecteren, zodat de juiste partij aangesproken wordt.</t>
  </si>
  <si>
    <t>Als toezichter wil ik een aannemer koppelen, zodat verantwoordelijkheden traceerbaar zijn.</t>
  </si>
  <si>
    <t>Als toezichter wil ik contactrollen selecteren, zodat de juiste namen, telefoons en e-mails verschijnen.</t>
  </si>
  <si>
    <t>Als toezichter wil ik bij de start het type vaststelling kiezen, zodat enkel relevante velden zichtbaar worden.</t>
  </si>
  <si>
    <t>Als toezichter wil ik registreren of de werf afgebakend en veilig is, zodat afwijkingen zichtbaar worden.</t>
  </si>
  <si>
    <t>Als toezichter wil ik aanduiden of er materiaal/afval achterblijft, zodat dit opgevolgd kan worden.</t>
  </si>
  <si>
    <t>Als toezichter wil ik defecten selecteren uit een standaardlijst, zodat rapportage uniform is.</t>
  </si>
  <si>
    <t>Als toezichter wil ik dringende acties kunnen markeren, zodat deze apart opgevolgd worden.</t>
  </si>
  <si>
    <t>Als toezichter wil ik oppervlaktes kunnen meten (lengte, breedte), zodat het systeem automatisch opp. berekent.</t>
  </si>
  <si>
    <t>Als toezichter wil ik meerdere meetlocaties kunnen toevoegen, zodat complexere werven volledig geregistreerd zijn.</t>
  </si>
  <si>
    <t>Als stad wil ik dat de app automatisch dagtarief × oppervlakte × dagen berekent, zodat rekenfouten onmogelijk zijn.</t>
  </si>
  <si>
    <t>Als stad wil ik een duidelijk onderscheid zien tussen vergund en werkelijk oppervlak, zodat afwijkingen visueel zijn.</t>
  </si>
  <si>
    <t>Als toezichter wil ik vaststellingen kunnen linken, zodat historiek duidelijk is.</t>
  </si>
  <si>
    <t>Als toezichter wil ik foto’s kunnen nemen en uploaden met automatische EXIF-metadata, zodat bewijs betrouwbaar is.</t>
  </si>
  <si>
    <t>Als toezichter wil ik PDF’s koppelen, zodat alle documenten bij de case zitten.</t>
  </si>
  <si>
    <t>Als toezichter wil ik vrije tekst kunnen toevoegen, zodat ik context of afspraken kan noteren.</t>
  </si>
  <si>
    <t>Als stad wil ik alle vaststellingen onder één caseId bundelen, zodat opvolging en rapportage sluitend zijn.</t>
  </si>
  <si>
    <t>Als toezichter wil ik de tijdlijn van eerdere vaststellingen zien, zodat ik de evolutie kan volgen.</t>
  </si>
  <si>
    <t>Als toezichter wil ik een vorige vaststelling klonen, zodat ik enkel wijzigingen moet aanvullen.</t>
  </si>
  <si>
    <t>Als stad wil ik dat de app automatisch checkt of een werk in een SPER-zone ligt, zodat ongeldige vergunningen voorkomen worden.</t>
  </si>
  <si>
    <t>Als toezichter wil ik via GIS zien welk materiaaltype op die locatie ligt, zodat ik weet welke herstelwijze van toepassing is.</t>
  </si>
  <si>
    <t>Als stad wil ik andere GIS-lagen (bomen, riolering, archeologie) kunnen raadplegen, zodat ik context heb bij vergunningen.</t>
  </si>
  <si>
    <t>Als toezichter wil ik in de app zien of een werk een geldige vergunning heeft, zodat ik direct kan ingrijpen bij afwijkingen.</t>
  </si>
  <si>
    <t>Als stad wil ik dat de app SPER-zones, GIPOD-planning en materiaaltypes checkt bij vergunning, zodat besluitvorming sneller en correcter is.</t>
  </si>
  <si>
    <t>Als toezichter wil ik foto’s kunnen annoteren, zodat afwijkingen duidelijk zichtbaar zijn.</t>
  </si>
  <si>
    <t>Als toezichter wil ik met de camera lengte/breedte inmeten, zodat oppervlak automatisch berekend wordt.</t>
  </si>
  <si>
    <t>Als stad wil ik dat AI foto’s analyseert op schade of defecten, zodat kwaliteitscontrole sneller gaat.</t>
  </si>
  <si>
    <t>Als toezichter wil ik de app ook offline gebruiken, zodat ik in tunnels of buitengebied kan blijven werken.</t>
  </si>
  <si>
    <t>Als stad wil ik dat de app automatisch herstelbonnen of boetes genereert, zodat handhaving consistent verloopt.</t>
  </si>
  <si>
    <t>Als toezichter wil ik een overzicht van mijn eigen dossiers zien, zodat ik prioriteiten kan plannen.</t>
  </si>
  <si>
    <t>Als stad wil ik KPI’s zien over herstelkwaliteit, retributies en doorlooptijden, zodat ik beleid kan bijsturen.</t>
  </si>
  <si>
    <t>Als nutsbedrijf wil ik feedback per aannemer of regio zien, zodat ik kwaliteit intern kan verbeteren.</t>
  </si>
  <si>
    <t>GIPOD valide 8 cijfers; Auto-link opent; Als niet gevonden melding + vrije vaststelling</t>
  </si>
  <si>
    <t>GPS nauwkeurigheid; Handmatige correctie; EXIF-fallback via foto</t>
  </si>
  <si>
    <t>Lijst uit centrale config; Auto-voorstel vanuit GIPOD</t>
  </si>
  <si>
    <t>Keuze uit: geen signalisatie, signalisatie zonder werken, werken in uitvoering, werken uitgevoerd</t>
  </si>
  <si>
    <t>Ja = geen vervolgvragen; Nee = lijst met problemen</t>
  </si>
  <si>
    <t>GPS, datum, toestel automatisch gekoppeld; Foto’s zichtbaar in galerij</t>
  </si>
  <si>
    <t>Kaart info</t>
  </si>
  <si>
    <t xml:space="preserve">Als toezichter kan ik de tijdschaal aangeven waarbinnen GIPOD de gekende dossiers moet tonen </t>
  </si>
  <si>
    <t>Als toezichter moet ik kunnen filteren op de status van de projecten</t>
  </si>
  <si>
    <t xml:space="preserve">Als toezichter kan ik in een zoekvenster de straatnaam ingeven waar ik wil zoeken. </t>
  </si>
  <si>
    <t>Als toezichter kan ik door de koppeling met mijn GPS op Giskaart meteen zien waar ik ben zodat ik kan zien welke werken er in GIPOD gepland zijn</t>
  </si>
  <si>
    <t xml:space="preserve">Alle statussen uit GIPOD moeten getoond worden Concreet gepland, In uitvoering, Uitgevoerd. </t>
  </si>
  <si>
    <t>alle_vaststellingen</t>
  </si>
  <si>
    <t>PRVN-14</t>
  </si>
  <si>
    <t>2025/09/02-11:11</t>
  </si>
  <si>
    <t>Hollebeekstraat 64 2660 Hoboken</t>
  </si>
  <si>
    <t>postcode</t>
  </si>
  <si>
    <t>undefined</t>
  </si>
  <si>
    <t>plaatsbepaling_locatie (VERPLICHT)</t>
  </si>
  <si>
    <t>14.1</t>
  </si>
  <si>
    <t>2660 Hoboken</t>
  </si>
  <si>
    <t>David De Weerdt</t>
  </si>
  <si>
    <t>david.deweerdt@antwerpen.be</t>
  </si>
  <si>
    <t>Vaststelling nuts</t>
  </si>
  <si>
    <t>2025/09/02-12:01</t>
  </si>
  <si>
    <t>false</t>
  </si>
  <si>
    <t>straatnaam en huisnummer (van-tot, bv 23-28)</t>
  </si>
  <si>
    <t>14.2</t>
  </si>
  <si>
    <t>Hollebeekstraat 64-66</t>
  </si>
  <si>
    <t>https://s3-eu-west-1.amazonaws.com/archi-files-production2/checklist_pictures/images/029/825/729/original/651af1ffec9b68f919b4df8333afa1f3383fd8cc.jpg?1756807289</t>
  </si>
  <si>
    <t xml:space="preserve">Dringende actie Nodig? </t>
  </si>
  <si>
    <t>Veiligheid werf</t>
  </si>
  <si>
    <t>14.3</t>
  </si>
  <si>
    <t>Herstelling van het openbaar domein blijft te lang op zich wachten.</t>
  </si>
  <si>
    <t xml:space="preserve">Signalisatieborden begin einde aanwezig? </t>
  </si>
  <si>
    <t>14.4</t>
  </si>
  <si>
    <t>OK, Signalisatiebord begin AANWEZIG ( rode driehoek )_x000D_ OK, signalisatiebord einde werken AANWEZIG ( blauwe driehoek )_x000D_ NOK, data werken ingevuld</t>
  </si>
  <si>
    <t>Werfafbakening</t>
  </si>
  <si>
    <t>14.5</t>
  </si>
  <si>
    <t>Harde afbakeningshekken aanwezig (verplicht vanaf  valhoogte &gt;20cm)</t>
  </si>
  <si>
    <t>Opmerkingen veiligheid</t>
  </si>
  <si>
    <t>14.6</t>
  </si>
  <si>
    <t>Doorgang voetgangers is niet meer mogelijk</t>
  </si>
  <si>
    <t>Elementverharding BETON</t>
  </si>
  <si>
    <t xml:space="preserve">TE GEBRUIKEN MATERIAAL </t>
  </si>
  <si>
    <t>14.7</t>
  </si>
  <si>
    <t>Beton 22x22 (standaard)</t>
  </si>
  <si>
    <t>funderingstype</t>
  </si>
  <si>
    <t>14.8</t>
  </si>
  <si>
    <t>10cm zandcement fundering + 3cm vlijlaag van zand</t>
  </si>
  <si>
    <t>oppervlakte INBRAAK</t>
  </si>
  <si>
    <t>opmeting</t>
  </si>
  <si>
    <t>14.9</t>
  </si>
  <si>
    <t>± 6m²</t>
  </si>
  <si>
    <t>oppervlakte WERFINNAME</t>
  </si>
  <si>
    <t>14.10</t>
  </si>
  <si>
    <t>± 12m²</t>
  </si>
  <si>
    <t xml:space="preserve">TYPE INBRAAK </t>
  </si>
  <si>
    <t>GIPOD</t>
  </si>
  <si>
    <t>14.11</t>
  </si>
  <si>
    <t>GW_NUTS</t>
  </si>
  <si>
    <t>2025/09/03-10:48</t>
  </si>
  <si>
    <t>BONU of SWPR nr</t>
  </si>
  <si>
    <t>14.12</t>
  </si>
  <si>
    <t>Niet gekoppeld aan SWPR of BONU</t>
  </si>
  <si>
    <t>GIPOD aangemaakt</t>
  </si>
  <si>
    <t>14.13</t>
  </si>
  <si>
    <t>Gipod onduidelijk_x000D_ Wel gipod van Water-Link (GW186911243, concreet gepland op 28/082025, 1dag) op deze huisnummer en gipod van Fluvius (GW18681692, concreet gepland 26/08 tem 2/09) aan de overzijde op huisnummer 101.</t>
  </si>
  <si>
    <t>opmerking doorlooptijd</t>
  </si>
  <si>
    <t>14.14</t>
  </si>
  <si>
    <t>Doorgangen voetgangers vrijhouden  ******  25/08 na info uit de buurt zou de put op deze datum gemaakt zijn_x000D_ 02/09 eerste vaststelling met foto's_x000D_ 03/09 tweede vaststelling met foto_x000D_ 04/09 derde vaststelling met foto_x000D_ 05/09 vierde vaststelling met foto_x000D_ 08/09 vijfde vaststelling met foto_x000D_ 09/09 zesde vaststelling met foto, herstelling uitgevoerd</t>
  </si>
  <si>
    <t>Name</t>
  </si>
  <si>
    <t>Adress line 1</t>
  </si>
  <si>
    <t>Adress line 2</t>
  </si>
  <si>
    <t>Unique ID</t>
  </si>
  <si>
    <t>PRVN-11</t>
  </si>
  <si>
    <t>Date</t>
  </si>
  <si>
    <t>2025/08/20-09:22</t>
  </si>
  <si>
    <t>Status</t>
  </si>
  <si>
    <t>Remark</t>
  </si>
  <si>
    <t>Remark Status</t>
  </si>
  <si>
    <t>Remark Category</t>
  </si>
  <si>
    <t>Remark Number</t>
  </si>
  <si>
    <t>11.1</t>
  </si>
  <si>
    <t>Remark Notes</t>
  </si>
  <si>
    <t>2018 Antwerpen</t>
  </si>
  <si>
    <t>Remark Responsibles</t>
  </si>
  <si>
    <t>Remark Pictures</t>
  </si>
  <si>
    <t>Remark Responsible IDs</t>
  </si>
  <si>
    <t>Remark Date</t>
  </si>
  <si>
    <t>Project Additional Info 1</t>
  </si>
  <si>
    <t>Project Additional Info 2</t>
  </si>
  <si>
    <t>Project Additional Info 3</t>
  </si>
  <si>
    <t>Project Additional Info 4</t>
  </si>
  <si>
    <t>Project Additional Info 5</t>
  </si>
  <si>
    <t>User Name</t>
  </si>
  <si>
    <t>michel Gerits</t>
  </si>
  <si>
    <t>User Email</t>
  </si>
  <si>
    <t>michel.gerits@antwerpen.be</t>
  </si>
  <si>
    <t>Checklist</t>
  </si>
  <si>
    <t>Created At</t>
  </si>
  <si>
    <t>Updated At</t>
  </si>
  <si>
    <t>2025/08/20-09:54</t>
  </si>
  <si>
    <t>Checklist ID</t>
  </si>
  <si>
    <t>Check ID</t>
  </si>
  <si>
    <t>Section</t>
  </si>
  <si>
    <t>Rijlabels</t>
  </si>
  <si>
    <t>Eindtotaal</t>
  </si>
  <si>
    <t>(leeg)</t>
  </si>
  <si>
    <t>ID_FEATURE</t>
  </si>
  <si>
    <t>ID_EPIC</t>
  </si>
  <si>
    <t>ID</t>
  </si>
  <si>
    <t>RAPPORTERING</t>
  </si>
  <si>
    <t>HANDHAVING</t>
  </si>
  <si>
    <t>DOMEINVERGUNNING</t>
  </si>
  <si>
    <t>GIS</t>
  </si>
  <si>
    <t>HISTORIEK</t>
  </si>
  <si>
    <t>BIJLAGEN</t>
  </si>
  <si>
    <t xml:space="preserve">OPMETINGEN </t>
  </si>
  <si>
    <t>ANNOTATIE</t>
  </si>
  <si>
    <t xml:space="preserve">WIE WERKT ER </t>
  </si>
  <si>
    <t xml:space="preserve">WAT ZIE IK </t>
  </si>
  <si>
    <t xml:space="preserve">BASIS </t>
  </si>
  <si>
    <t>Als nutsbedrijf wil ik data kunnen aanleveren zodat vaststellingen beter kunnen gekoppeld worden</t>
  </si>
  <si>
    <t xml:space="preserve">Configuratie </t>
  </si>
  <si>
    <t xml:space="preserve">Nutsbedrijven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</si>
</sst>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wrapText="1"/>
    </xf>
    <xf numFmtId="0" fontId="0" fillId="0" borderId="0" xfId="0" applyAlignment="1">
      <alignment horizontal="right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 Gerits" refreshedDate="45925.653093865738" createdVersion="8" refreshedVersion="8" minRefreshableVersion="3" recordCount="40" xr:uid="{70F78C54-7966-460C-908D-8844569861E6}">
  <cacheSource type="worksheet">
    <worksheetSource ref="D1:I42" sheet="Sheet1"/>
  </cacheSource>
  <cacheFields count="4">
    <cacheField name="Epic" numFmtId="0">
      <sharedItems count="11">
        <s v="Vaststellingen &amp; Workflow"/>
        <s v="Werken &amp; Betrokkenen"/>
        <s v="Ter Plaatse Vaststellingen"/>
        <s v="Afwijkingen &amp; Berekeningen"/>
        <s v="Bijlagen &amp; Extra Info"/>
        <s v="Geschiedenis &amp; Cases"/>
        <s v="GIS-integratie"/>
        <s v="Domeinvergunning-check"/>
        <s v="Opmeetapp-component"/>
        <s v="Extra innovaties"/>
        <s v="Rapportage &amp; Dashboards"/>
      </sharedItems>
    </cacheField>
    <cacheField name="Feature" numFmtId="0">
      <sharedItems count="28">
        <s v="Start vaststelling"/>
        <s v="Basisinfo"/>
        <s v="Kaart info"/>
        <s v="Nutsbedrijven &amp; aannemers"/>
        <s v="Contacten"/>
        <s v="Type vaststelling"/>
        <s v="Veiligheid"/>
        <s v="Materiaal &amp; defecten"/>
        <s v="Urgentie"/>
        <s v="Metingen"/>
        <s v="Retributie"/>
        <s v="Relaties"/>
        <s v="Foto’s"/>
        <s v="Documenten"/>
        <s v="Notities"/>
        <s v="CaseId"/>
        <s v="Historiek"/>
        <s v="SPER-zones"/>
        <s v="Materiaaltypes"/>
        <s v="Extra lagen"/>
        <s v="Vergunningstoets"/>
        <s v="Annotatie"/>
        <s v="AI-analyse"/>
        <s v="Offline first"/>
        <s v="Digitale handhaving"/>
        <s v="Toezichters"/>
        <s v="Stad"/>
        <s v="Nutsbedrijven"/>
      </sharedItems>
    </cacheField>
    <cacheField name="User Story" numFmtId="0">
      <sharedItems count="40">
        <s v="Als toezichter wil ik een vaststelling starten via een GIPOD-nummer, zodat alle info automatisch aan het juiste werk gekoppeld wordt."/>
        <s v="Als toezichter wil ik een vaststelling starten via GPS-locatie, zodat ik zonder GIPOD toch ter plaatse kan registreren."/>
        <s v="Als toezichter wil ik automatisch de huidige datum voorgesteld krijgen, zodat registratie sneller gaat."/>
        <s v="Als stad wil ik dat postcodes en utility types uit centrale config komen, zodat foutieve invoer onmogelijk is."/>
        <s v="Als toezichter kan ik door de koppeling met mijn GPS op Giskaart meteen zien waar ik ben zodat ik kan zien welke werken er in GIPOD gepland zijn"/>
        <s v="Als toezichter kan ik de tijdschaal aangeven waarbinnen GIPOD de gekende dossiers moet tonen "/>
        <s v="Als toezichter moet ik kunnen filteren op de status van de projecten"/>
        <s v="Als toezichter kan ik in een zoekvenster de straatnaam ingeven waar ik wil zoeken. "/>
        <s v="Als toezichter wil ik de betrokken nutsmaatschappij selecteren, zodat de juiste partij aangesproken wordt."/>
        <s v="Als toezichter wil ik een aannemer koppelen, zodat verantwoordelijkheden traceerbaar zijn."/>
        <s v="Als toezichter wil ik contactrollen selecteren, zodat de juiste namen, telefoons en e-mails verschijnen."/>
        <s v="Als toezichter wil ik bij de start het type vaststelling kiezen, zodat enkel relevante velden zichtbaar worden."/>
        <s v="Als toezichter wil ik registreren of de werf afgebakend en veilig is, zodat afwijkingen zichtbaar worden."/>
        <s v="Als toezichter wil ik aanduiden of er materiaal/afval achterblijft, zodat dit opgevolgd kan worden."/>
        <s v="Als toezichter wil ik defecten selecteren uit een standaardlijst, zodat rapportage uniform is."/>
        <s v="Als toezichter wil ik dringende acties kunnen markeren, zodat deze apart opgevolgd worden."/>
        <s v="Als toezichter wil ik oppervlaktes kunnen meten (lengte, breedte), zodat het systeem automatisch opp. berekent."/>
        <s v="Als toezichter wil ik meerdere meetlocaties kunnen toevoegen, zodat complexere werven volledig geregistreerd zijn."/>
        <s v="Als stad wil ik dat de app automatisch dagtarief × oppervlakte × dagen berekent, zodat rekenfouten onmogelijk zijn."/>
        <s v="Als stad wil ik een duidelijk onderscheid zien tussen vergund en werkelijk oppervlak, zodat afwijkingen visueel zijn."/>
        <s v="Als toezichter wil ik vaststellingen kunnen linken, zodat historiek duidelijk is."/>
        <s v="Als toezichter wil ik foto’s kunnen nemen en uploaden met automatische EXIF-metadata, zodat bewijs betrouwbaar is."/>
        <s v="Als toezichter wil ik PDF’s koppelen, zodat alle documenten bij de case zitten."/>
        <s v="Als toezichter wil ik vrije tekst kunnen toevoegen, zodat ik context of afspraken kan noteren."/>
        <s v="Als stad wil ik alle vaststellingen onder één caseId bundelen, zodat opvolging en rapportage sluitend zijn."/>
        <s v="Als toezichter wil ik de tijdlijn van eerdere vaststellingen zien, zodat ik de evolutie kan volgen."/>
        <s v="Als toezichter wil ik een vorige vaststelling klonen, zodat ik enkel wijzigingen moet aanvullen."/>
        <s v="Als stad wil ik dat de app automatisch checkt of een werk in een SPER-zone ligt, zodat ongeldige vergunningen voorkomen worden."/>
        <s v="Als toezichter wil ik via GIS zien welk materiaaltype op die locatie ligt, zodat ik weet welke herstelwijze van toepassing is."/>
        <s v="Als stad wil ik andere GIS-lagen (bomen, riolering, archeologie) kunnen raadplegen, zodat ik context heb bij vergunningen."/>
        <s v="Als toezichter wil ik in de app zien of een werk een geldige vergunning heeft, zodat ik direct kan ingrijpen bij afwijkingen."/>
        <s v="Als stad wil ik dat de app SPER-zones, GIPOD-planning en materiaaltypes checkt bij vergunning, zodat besluitvorming sneller en correcter is."/>
        <s v="Als toezichter wil ik foto’s kunnen annoteren, zodat afwijkingen duidelijk zichtbaar zijn."/>
        <s v="Als toezichter wil ik met de camera lengte/breedte inmeten, zodat oppervlak automatisch berekend wordt."/>
        <s v="Als stad wil ik dat AI foto’s analyseert op schade of defecten, zodat kwaliteitscontrole sneller gaat."/>
        <s v="Als toezichter wil ik de app ook offline gebruiken, zodat ik in tunnels of buitengebied kan blijven werken."/>
        <s v="Als stad wil ik dat de app automatisch herstelbonnen of boetes genereert, zodat handhaving consistent verloopt."/>
        <s v="Als toezichter wil ik een overzicht van mijn eigen dossiers zien, zodat ik prioriteiten kan plannen."/>
        <s v="Als stad wil ik KPI’s zien over herstelkwaliteit, retributies en doorlooptijden, zodat ik beleid kan bijsturen."/>
        <s v="Als nutsbedrijf wil ik feedback per aannemer of regio zien, zodat ik kwaliteit intern kan verbeteren."/>
      </sharedItems>
    </cacheField>
    <cacheField name="Acceptatiecriteria" numFmtId="0">
      <sharedItems containsBlank="1" count="8">
        <s v="GIPOD valide 8 cijfers; Auto-link opent; Als niet gevonden melding + vrije vaststelling"/>
        <s v="GPS nauwkeurigheid; Handmatige correctie; EXIF-fallback via foto"/>
        <m/>
        <s v="Alle statussen uit GIPOD moeten getoond worden Concreet gepland, In uitvoering, Uitgevoerd. "/>
        <s v="Lijst uit centrale config; Auto-voorstel vanuit GIPOD"/>
        <s v="Keuze uit: geen signalisatie, signalisatie zonder werken, werken in uitvoering, werken uitgevoerd"/>
        <s v="Ja = geen vervolgvragen; Nee = lijst met problemen"/>
        <s v="GPS, datum, toestel automatisch gekoppeld; Foto’s zichtbaar in galerij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</r>
  <r>
    <x v="0"/>
    <x v="0"/>
    <x v="1"/>
    <x v="1"/>
  </r>
  <r>
    <x v="0"/>
    <x v="1"/>
    <x v="2"/>
    <x v="2"/>
  </r>
  <r>
    <x v="0"/>
    <x v="1"/>
    <x v="3"/>
    <x v="2"/>
  </r>
  <r>
    <x v="0"/>
    <x v="2"/>
    <x v="4"/>
    <x v="2"/>
  </r>
  <r>
    <x v="0"/>
    <x v="2"/>
    <x v="5"/>
    <x v="2"/>
  </r>
  <r>
    <x v="0"/>
    <x v="2"/>
    <x v="6"/>
    <x v="3"/>
  </r>
  <r>
    <x v="0"/>
    <x v="2"/>
    <x v="7"/>
    <x v="2"/>
  </r>
  <r>
    <x v="1"/>
    <x v="3"/>
    <x v="8"/>
    <x v="4"/>
  </r>
  <r>
    <x v="1"/>
    <x v="3"/>
    <x v="9"/>
    <x v="2"/>
  </r>
  <r>
    <x v="1"/>
    <x v="4"/>
    <x v="10"/>
    <x v="2"/>
  </r>
  <r>
    <x v="2"/>
    <x v="5"/>
    <x v="11"/>
    <x v="5"/>
  </r>
  <r>
    <x v="2"/>
    <x v="6"/>
    <x v="12"/>
    <x v="6"/>
  </r>
  <r>
    <x v="2"/>
    <x v="7"/>
    <x v="13"/>
    <x v="2"/>
  </r>
  <r>
    <x v="2"/>
    <x v="7"/>
    <x v="14"/>
    <x v="2"/>
  </r>
  <r>
    <x v="2"/>
    <x v="8"/>
    <x v="15"/>
    <x v="2"/>
  </r>
  <r>
    <x v="3"/>
    <x v="9"/>
    <x v="16"/>
    <x v="2"/>
  </r>
  <r>
    <x v="3"/>
    <x v="9"/>
    <x v="17"/>
    <x v="2"/>
  </r>
  <r>
    <x v="3"/>
    <x v="10"/>
    <x v="18"/>
    <x v="2"/>
  </r>
  <r>
    <x v="3"/>
    <x v="10"/>
    <x v="19"/>
    <x v="2"/>
  </r>
  <r>
    <x v="3"/>
    <x v="11"/>
    <x v="20"/>
    <x v="2"/>
  </r>
  <r>
    <x v="4"/>
    <x v="12"/>
    <x v="21"/>
    <x v="7"/>
  </r>
  <r>
    <x v="4"/>
    <x v="13"/>
    <x v="22"/>
    <x v="2"/>
  </r>
  <r>
    <x v="4"/>
    <x v="14"/>
    <x v="23"/>
    <x v="2"/>
  </r>
  <r>
    <x v="5"/>
    <x v="15"/>
    <x v="24"/>
    <x v="2"/>
  </r>
  <r>
    <x v="5"/>
    <x v="16"/>
    <x v="25"/>
    <x v="2"/>
  </r>
  <r>
    <x v="5"/>
    <x v="16"/>
    <x v="26"/>
    <x v="2"/>
  </r>
  <r>
    <x v="6"/>
    <x v="17"/>
    <x v="27"/>
    <x v="2"/>
  </r>
  <r>
    <x v="6"/>
    <x v="18"/>
    <x v="28"/>
    <x v="2"/>
  </r>
  <r>
    <x v="6"/>
    <x v="19"/>
    <x v="29"/>
    <x v="2"/>
  </r>
  <r>
    <x v="7"/>
    <x v="20"/>
    <x v="30"/>
    <x v="2"/>
  </r>
  <r>
    <x v="7"/>
    <x v="20"/>
    <x v="31"/>
    <x v="2"/>
  </r>
  <r>
    <x v="8"/>
    <x v="21"/>
    <x v="32"/>
    <x v="2"/>
  </r>
  <r>
    <x v="8"/>
    <x v="21"/>
    <x v="33"/>
    <x v="2"/>
  </r>
  <r>
    <x v="9"/>
    <x v="22"/>
    <x v="34"/>
    <x v="2"/>
  </r>
  <r>
    <x v="9"/>
    <x v="23"/>
    <x v="35"/>
    <x v="2"/>
  </r>
  <r>
    <x v="9"/>
    <x v="24"/>
    <x v="36"/>
    <x v="2"/>
  </r>
  <r>
    <x v="10"/>
    <x v="25"/>
    <x v="37"/>
    <x v="2"/>
  </r>
  <r>
    <x v="10"/>
    <x v="26"/>
    <x v="38"/>
    <x v="2"/>
  </r>
  <r>
    <x v="10"/>
    <x v="27"/>
    <x v="3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ADAB8-346B-4F59-93BB-02AEDC85CE6F}" name="Draaitabel2" cacheId="17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D44" firstHeaderRow="1" firstDataRow="1" firstDataCol="4"/>
  <pivotFields count="4">
    <pivotField axis="axisRow" outline="0" showAll="0" defaultSubtotal="0">
      <items count="11">
        <item x="3"/>
        <item x="4"/>
        <item x="7"/>
        <item x="9"/>
        <item x="5"/>
        <item x="6"/>
        <item x="8"/>
        <item x="10"/>
        <item x="2"/>
        <item x="0"/>
        <item x="1"/>
      </items>
    </pivotField>
    <pivotField axis="axisRow" outline="0" showAll="0" defaultSubtotal="0">
      <items count="28">
        <item x="22"/>
        <item x="21"/>
        <item x="1"/>
        <item x="15"/>
        <item x="4"/>
        <item x="24"/>
        <item x="13"/>
        <item x="19"/>
        <item x="12"/>
        <item x="16"/>
        <item x="2"/>
        <item x="7"/>
        <item x="18"/>
        <item x="9"/>
        <item x="14"/>
        <item x="27"/>
        <item x="3"/>
        <item x="23"/>
        <item x="11"/>
        <item x="10"/>
        <item x="17"/>
        <item x="26"/>
        <item x="0"/>
        <item x="25"/>
        <item x="5"/>
        <item x="8"/>
        <item x="6"/>
        <item x="20"/>
      </items>
    </pivotField>
    <pivotField axis="axisRow" outline="0" showAll="0" defaultSubtotal="0">
      <items count="40">
        <item x="39"/>
        <item x="24"/>
        <item x="29"/>
        <item x="34"/>
        <item x="27"/>
        <item x="18"/>
        <item x="36"/>
        <item x="31"/>
        <item x="3"/>
        <item x="19"/>
        <item x="38"/>
        <item x="5"/>
        <item x="4"/>
        <item x="7"/>
        <item x="6"/>
        <item x="13"/>
        <item x="2"/>
        <item x="11"/>
        <item x="10"/>
        <item x="35"/>
        <item x="8"/>
        <item x="25"/>
        <item x="14"/>
        <item x="15"/>
        <item x="9"/>
        <item x="37"/>
        <item x="0"/>
        <item x="1"/>
        <item x="26"/>
        <item x="32"/>
        <item x="21"/>
        <item x="30"/>
        <item x="17"/>
        <item x="33"/>
        <item x="16"/>
        <item x="22"/>
        <item x="12"/>
        <item x="20"/>
        <item x="28"/>
        <item x="23"/>
      </items>
    </pivotField>
    <pivotField axis="axisRow" showAll="0">
      <items count="9">
        <item x="3"/>
        <item x="0"/>
        <item x="1"/>
        <item x="7"/>
        <item x="6"/>
        <item x="5"/>
        <item x="4"/>
        <item x="2"/>
        <item t="default"/>
      </items>
    </pivotField>
  </pivotFields>
  <rowFields count="4">
    <field x="0"/>
    <field x="1"/>
    <field x="2"/>
    <field x="3"/>
  </rowFields>
  <rowItems count="41">
    <i>
      <x/>
      <x v="13"/>
      <x v="32"/>
      <x v="7"/>
    </i>
    <i r="2">
      <x v="34"/>
      <x v="7"/>
    </i>
    <i r="1">
      <x v="18"/>
      <x v="37"/>
      <x v="7"/>
    </i>
    <i r="1">
      <x v="19"/>
      <x v="5"/>
      <x v="7"/>
    </i>
    <i r="2">
      <x v="9"/>
      <x v="7"/>
    </i>
    <i>
      <x v="1"/>
      <x v="6"/>
      <x v="35"/>
      <x v="7"/>
    </i>
    <i r="1">
      <x v="8"/>
      <x v="30"/>
      <x v="3"/>
    </i>
    <i r="1">
      <x v="14"/>
      <x v="39"/>
      <x v="7"/>
    </i>
    <i>
      <x v="2"/>
      <x v="27"/>
      <x v="7"/>
      <x v="7"/>
    </i>
    <i r="2">
      <x v="31"/>
      <x v="7"/>
    </i>
    <i>
      <x v="3"/>
      <x/>
      <x v="3"/>
      <x v="7"/>
    </i>
    <i r="1">
      <x v="5"/>
      <x v="6"/>
      <x v="7"/>
    </i>
    <i r="1">
      <x v="17"/>
      <x v="19"/>
      <x v="7"/>
    </i>
    <i>
      <x v="4"/>
      <x v="3"/>
      <x v="1"/>
      <x v="7"/>
    </i>
    <i r="1">
      <x v="9"/>
      <x v="21"/>
      <x v="7"/>
    </i>
    <i r="2">
      <x v="28"/>
      <x v="7"/>
    </i>
    <i>
      <x v="5"/>
      <x v="7"/>
      <x v="2"/>
      <x v="7"/>
    </i>
    <i r="1">
      <x v="12"/>
      <x v="38"/>
      <x v="7"/>
    </i>
    <i r="1">
      <x v="20"/>
      <x v="4"/>
      <x v="7"/>
    </i>
    <i>
      <x v="6"/>
      <x v="1"/>
      <x v="29"/>
      <x v="7"/>
    </i>
    <i r="2">
      <x v="33"/>
      <x v="7"/>
    </i>
    <i>
      <x v="7"/>
      <x v="15"/>
      <x/>
      <x v="7"/>
    </i>
    <i r="1">
      <x v="21"/>
      <x v="10"/>
      <x v="7"/>
    </i>
    <i r="1">
      <x v="23"/>
      <x v="25"/>
      <x v="7"/>
    </i>
    <i>
      <x v="8"/>
      <x v="11"/>
      <x v="15"/>
      <x v="7"/>
    </i>
    <i r="2">
      <x v="22"/>
      <x v="7"/>
    </i>
    <i r="1">
      <x v="24"/>
      <x v="17"/>
      <x v="5"/>
    </i>
    <i r="1">
      <x v="25"/>
      <x v="23"/>
      <x v="7"/>
    </i>
    <i r="1">
      <x v="26"/>
      <x v="36"/>
      <x v="4"/>
    </i>
    <i>
      <x v="9"/>
      <x v="2"/>
      <x v="8"/>
      <x v="7"/>
    </i>
    <i r="2">
      <x v="16"/>
      <x v="7"/>
    </i>
    <i r="1">
      <x v="10"/>
      <x v="11"/>
      <x v="7"/>
    </i>
    <i r="2">
      <x v="12"/>
      <x v="7"/>
    </i>
    <i r="2">
      <x v="13"/>
      <x v="7"/>
    </i>
    <i r="2">
      <x v="14"/>
      <x/>
    </i>
    <i r="1">
      <x v="22"/>
      <x v="26"/>
      <x v="1"/>
    </i>
    <i r="2">
      <x v="27"/>
      <x v="2"/>
    </i>
    <i>
      <x v="10"/>
      <x v="4"/>
      <x v="18"/>
      <x v="7"/>
    </i>
    <i r="1">
      <x v="16"/>
      <x v="20"/>
      <x v="6"/>
    </i>
    <i r="2">
      <x v="24"/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2FCF-C945-42EE-8CA4-3A927574DE08}">
  <dimension ref="A3:D44"/>
  <sheetViews>
    <sheetView workbookViewId="0">
      <selection activeCell="A21" sqref="A21"/>
    </sheetView>
  </sheetViews>
  <sheetFormatPr defaultRowHeight="15" x14ac:dyDescent="0.25"/>
  <cols>
    <col min="1" max="1" width="29" bestFit="1" customWidth="1"/>
    <col min="2" max="2" width="27.140625" customWidth="1"/>
    <col min="3" max="3" width="135.85546875" bestFit="1" customWidth="1"/>
    <col min="4" max="4" width="89.85546875" bestFit="1" customWidth="1"/>
  </cols>
  <sheetData>
    <row r="3" spans="1:4" x14ac:dyDescent="0.25">
      <c r="A3" s="4" t="s">
        <v>184</v>
      </c>
      <c r="B3" s="4" t="s">
        <v>1</v>
      </c>
      <c r="C3" s="4" t="s">
        <v>2</v>
      </c>
      <c r="D3" s="4" t="s">
        <v>3</v>
      </c>
    </row>
    <row r="4" spans="1:4" x14ac:dyDescent="0.25">
      <c r="A4" s="5" t="s">
        <v>7</v>
      </c>
      <c r="B4" s="5" t="s">
        <v>23</v>
      </c>
      <c r="C4" s="5" t="s">
        <v>55</v>
      </c>
      <c r="D4" s="5" t="s">
        <v>186</v>
      </c>
    </row>
    <row r="5" spans="1:4" x14ac:dyDescent="0.25">
      <c r="C5" s="5" t="s">
        <v>54</v>
      </c>
      <c r="D5" s="5" t="s">
        <v>186</v>
      </c>
    </row>
    <row r="6" spans="1:4" x14ac:dyDescent="0.25">
      <c r="B6" s="5" t="s">
        <v>25</v>
      </c>
      <c r="C6" s="5" t="s">
        <v>58</v>
      </c>
      <c r="D6" s="5" t="s">
        <v>186</v>
      </c>
    </row>
    <row r="7" spans="1:4" x14ac:dyDescent="0.25">
      <c r="B7" s="5" t="s">
        <v>24</v>
      </c>
      <c r="C7" s="5" t="s">
        <v>56</v>
      </c>
      <c r="D7" s="5" t="s">
        <v>186</v>
      </c>
    </row>
    <row r="8" spans="1:4" x14ac:dyDescent="0.25">
      <c r="C8" s="5" t="s">
        <v>57</v>
      </c>
      <c r="D8" s="5" t="s">
        <v>186</v>
      </c>
    </row>
    <row r="9" spans="1:4" x14ac:dyDescent="0.25">
      <c r="A9" s="5" t="s">
        <v>8</v>
      </c>
      <c r="B9" s="5" t="s">
        <v>27</v>
      </c>
      <c r="C9" s="5" t="s">
        <v>60</v>
      </c>
      <c r="D9" s="5" t="s">
        <v>186</v>
      </c>
    </row>
    <row r="10" spans="1:4" x14ac:dyDescent="0.25">
      <c r="B10" s="5" t="s">
        <v>26</v>
      </c>
      <c r="C10" s="5" t="s">
        <v>59</v>
      </c>
      <c r="D10" s="5" t="s">
        <v>83</v>
      </c>
    </row>
    <row r="11" spans="1:4" x14ac:dyDescent="0.25">
      <c r="B11" s="5" t="s">
        <v>28</v>
      </c>
      <c r="C11" s="5" t="s">
        <v>61</v>
      </c>
      <c r="D11" s="5" t="s">
        <v>186</v>
      </c>
    </row>
    <row r="12" spans="1:4" x14ac:dyDescent="0.25">
      <c r="A12" s="5" t="s">
        <v>11</v>
      </c>
      <c r="B12" s="5" t="s">
        <v>34</v>
      </c>
      <c r="C12" s="5" t="s">
        <v>69</v>
      </c>
      <c r="D12" s="5" t="s">
        <v>186</v>
      </c>
    </row>
    <row r="13" spans="1:4" x14ac:dyDescent="0.25">
      <c r="C13" s="5" t="s">
        <v>68</v>
      </c>
      <c r="D13" s="5" t="s">
        <v>186</v>
      </c>
    </row>
    <row r="14" spans="1:4" x14ac:dyDescent="0.25">
      <c r="A14" s="5" t="s">
        <v>13</v>
      </c>
      <c r="B14" s="5" t="s">
        <v>36</v>
      </c>
      <c r="C14" s="5" t="s">
        <v>72</v>
      </c>
      <c r="D14" s="5" t="s">
        <v>186</v>
      </c>
    </row>
    <row r="15" spans="1:4" x14ac:dyDescent="0.25">
      <c r="B15" s="5" t="s">
        <v>38</v>
      </c>
      <c r="C15" s="5" t="s">
        <v>74</v>
      </c>
      <c r="D15" s="5" t="s">
        <v>186</v>
      </c>
    </row>
    <row r="16" spans="1:4" x14ac:dyDescent="0.25">
      <c r="B16" s="5" t="s">
        <v>37</v>
      </c>
      <c r="C16" s="5" t="s">
        <v>73</v>
      </c>
      <c r="D16" s="5" t="s">
        <v>186</v>
      </c>
    </row>
    <row r="17" spans="1:4" x14ac:dyDescent="0.25">
      <c r="A17" s="5" t="s">
        <v>9</v>
      </c>
      <c r="B17" s="5" t="s">
        <v>29</v>
      </c>
      <c r="C17" s="5" t="s">
        <v>62</v>
      </c>
      <c r="D17" s="5" t="s">
        <v>186</v>
      </c>
    </row>
    <row r="18" spans="1:4" x14ac:dyDescent="0.25">
      <c r="B18" s="5" t="s">
        <v>30</v>
      </c>
      <c r="C18" s="5" t="s">
        <v>63</v>
      </c>
      <c r="D18" s="5" t="s">
        <v>186</v>
      </c>
    </row>
    <row r="19" spans="1:4" x14ac:dyDescent="0.25">
      <c r="C19" s="5" t="s">
        <v>64</v>
      </c>
      <c r="D19" s="5" t="s">
        <v>186</v>
      </c>
    </row>
    <row r="20" spans="1:4" x14ac:dyDescent="0.25">
      <c r="A20" s="5" t="s">
        <v>10</v>
      </c>
      <c r="B20" s="5" t="s">
        <v>33</v>
      </c>
      <c r="C20" s="5" t="s">
        <v>67</v>
      </c>
      <c r="D20" s="5" t="s">
        <v>186</v>
      </c>
    </row>
    <row r="21" spans="1:4" x14ac:dyDescent="0.25">
      <c r="B21" s="5" t="s">
        <v>32</v>
      </c>
      <c r="C21" s="5" t="s">
        <v>66</v>
      </c>
      <c r="D21" s="5" t="s">
        <v>186</v>
      </c>
    </row>
    <row r="22" spans="1:4" x14ac:dyDescent="0.25">
      <c r="B22" s="5" t="s">
        <v>31</v>
      </c>
      <c r="C22" s="5" t="s">
        <v>65</v>
      </c>
      <c r="D22" s="5" t="s">
        <v>186</v>
      </c>
    </row>
    <row r="23" spans="1:4" x14ac:dyDescent="0.25">
      <c r="A23" s="5" t="s">
        <v>12</v>
      </c>
      <c r="B23" s="5" t="s">
        <v>35</v>
      </c>
      <c r="C23" s="5" t="s">
        <v>70</v>
      </c>
      <c r="D23" s="5" t="s">
        <v>186</v>
      </c>
    </row>
    <row r="24" spans="1:4" x14ac:dyDescent="0.25">
      <c r="C24" s="5" t="s">
        <v>71</v>
      </c>
      <c r="D24" s="5" t="s">
        <v>186</v>
      </c>
    </row>
    <row r="25" spans="1:4" x14ac:dyDescent="0.25">
      <c r="A25" s="5" t="s">
        <v>14</v>
      </c>
      <c r="B25" s="5" t="s">
        <v>41</v>
      </c>
      <c r="C25" s="5" t="s">
        <v>77</v>
      </c>
      <c r="D25" s="5" t="s">
        <v>186</v>
      </c>
    </row>
    <row r="26" spans="1:4" x14ac:dyDescent="0.25">
      <c r="B26" s="5" t="s">
        <v>40</v>
      </c>
      <c r="C26" s="5" t="s">
        <v>76</v>
      </c>
      <c r="D26" s="5" t="s">
        <v>186</v>
      </c>
    </row>
    <row r="27" spans="1:4" x14ac:dyDescent="0.25">
      <c r="B27" s="5" t="s">
        <v>39</v>
      </c>
      <c r="C27" s="5" t="s">
        <v>75</v>
      </c>
      <c r="D27" s="5" t="s">
        <v>186</v>
      </c>
    </row>
    <row r="28" spans="1:4" x14ac:dyDescent="0.25">
      <c r="A28" s="5" t="s">
        <v>6</v>
      </c>
      <c r="B28" s="5" t="s">
        <v>21</v>
      </c>
      <c r="C28" s="5" t="s">
        <v>51</v>
      </c>
      <c r="D28" s="5" t="s">
        <v>186</v>
      </c>
    </row>
    <row r="29" spans="1:4" x14ac:dyDescent="0.25">
      <c r="C29" s="5" t="s">
        <v>52</v>
      </c>
      <c r="D29" s="5" t="s">
        <v>186</v>
      </c>
    </row>
    <row r="30" spans="1:4" x14ac:dyDescent="0.25">
      <c r="B30" s="5" t="s">
        <v>19</v>
      </c>
      <c r="C30" s="5" t="s">
        <v>49</v>
      </c>
      <c r="D30" s="5" t="s">
        <v>81</v>
      </c>
    </row>
    <row r="31" spans="1:4" x14ac:dyDescent="0.25">
      <c r="B31" s="5" t="s">
        <v>22</v>
      </c>
      <c r="C31" s="5" t="s">
        <v>53</v>
      </c>
      <c r="D31" s="5" t="s">
        <v>186</v>
      </c>
    </row>
    <row r="32" spans="1:4" x14ac:dyDescent="0.25">
      <c r="B32" s="5" t="s">
        <v>20</v>
      </c>
      <c r="C32" s="5" t="s">
        <v>50</v>
      </c>
      <c r="D32" s="5" t="s">
        <v>82</v>
      </c>
    </row>
    <row r="33" spans="1:4" x14ac:dyDescent="0.25">
      <c r="A33" s="5" t="s">
        <v>4</v>
      </c>
      <c r="B33" s="5" t="s">
        <v>16</v>
      </c>
      <c r="C33" s="5" t="s">
        <v>45</v>
      </c>
      <c r="D33" s="5" t="s">
        <v>186</v>
      </c>
    </row>
    <row r="34" spans="1:4" x14ac:dyDescent="0.25">
      <c r="C34" s="5" t="s">
        <v>44</v>
      </c>
      <c r="D34" s="5" t="s">
        <v>186</v>
      </c>
    </row>
    <row r="35" spans="1:4" x14ac:dyDescent="0.25">
      <c r="B35" s="5" t="s">
        <v>84</v>
      </c>
      <c r="C35" s="5" t="s">
        <v>85</v>
      </c>
      <c r="D35" s="5" t="s">
        <v>186</v>
      </c>
    </row>
    <row r="36" spans="1:4" x14ac:dyDescent="0.25">
      <c r="C36" s="5" t="s">
        <v>88</v>
      </c>
      <c r="D36" s="5" t="s">
        <v>186</v>
      </c>
    </row>
    <row r="37" spans="1:4" x14ac:dyDescent="0.25">
      <c r="C37" s="5" t="s">
        <v>87</v>
      </c>
      <c r="D37" s="5" t="s">
        <v>186</v>
      </c>
    </row>
    <row r="38" spans="1:4" x14ac:dyDescent="0.25">
      <c r="C38" s="5" t="s">
        <v>86</v>
      </c>
      <c r="D38" s="5" t="s">
        <v>89</v>
      </c>
    </row>
    <row r="39" spans="1:4" x14ac:dyDescent="0.25">
      <c r="B39" s="5" t="s">
        <v>15</v>
      </c>
      <c r="C39" s="5" t="s">
        <v>42</v>
      </c>
      <c r="D39" s="5" t="s">
        <v>78</v>
      </c>
    </row>
    <row r="40" spans="1:4" x14ac:dyDescent="0.25">
      <c r="C40" s="5" t="s">
        <v>43</v>
      </c>
      <c r="D40" s="5" t="s">
        <v>79</v>
      </c>
    </row>
    <row r="41" spans="1:4" x14ac:dyDescent="0.25">
      <c r="A41" s="5" t="s">
        <v>5</v>
      </c>
      <c r="B41" s="5" t="s">
        <v>18</v>
      </c>
      <c r="C41" s="5" t="s">
        <v>48</v>
      </c>
      <c r="D41" s="5" t="s">
        <v>186</v>
      </c>
    </row>
    <row r="42" spans="1:4" x14ac:dyDescent="0.25">
      <c r="B42" s="5" t="s">
        <v>17</v>
      </c>
      <c r="C42" s="5" t="s">
        <v>46</v>
      </c>
      <c r="D42" s="5" t="s">
        <v>80</v>
      </c>
    </row>
    <row r="43" spans="1:4" x14ac:dyDescent="0.25">
      <c r="C43" s="5" t="s">
        <v>47</v>
      </c>
      <c r="D43" s="5" t="s">
        <v>186</v>
      </c>
    </row>
    <row r="44" spans="1:4" x14ac:dyDescent="0.25">
      <c r="A44" s="5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opLeftCell="A36" workbookViewId="0">
      <selection activeCell="A10" sqref="A10:A13"/>
    </sheetView>
  </sheetViews>
  <sheetFormatPr defaultColWidth="48.140625" defaultRowHeight="15" x14ac:dyDescent="0.25"/>
  <cols>
    <col min="1" max="1" width="30.85546875" style="1" customWidth="1"/>
    <col min="2" max="2" width="8.140625" style="3" customWidth="1"/>
    <col min="3" max="3" width="5.28515625" style="1" customWidth="1"/>
    <col min="4" max="4" width="34.5703125" style="1" customWidth="1"/>
    <col min="5" max="5" width="4.85546875" style="1" customWidth="1"/>
    <col min="6" max="6" width="34.5703125" style="1" customWidth="1"/>
    <col min="7" max="7" width="6.140625" style="1" customWidth="1"/>
    <col min="8" max="8" width="67.85546875" style="1" customWidth="1"/>
    <col min="9" max="16384" width="48.140625" style="1"/>
  </cols>
  <sheetData>
    <row r="1" spans="1:9" ht="45" x14ac:dyDescent="0.25">
      <c r="B1" s="3" t="s">
        <v>189</v>
      </c>
      <c r="C1" s="3" t="s">
        <v>188</v>
      </c>
      <c r="D1" s="3" t="s">
        <v>0</v>
      </c>
      <c r="E1" s="3" t="s">
        <v>187</v>
      </c>
      <c r="F1" s="3" t="s">
        <v>1</v>
      </c>
      <c r="G1" s="3"/>
      <c r="H1" s="3" t="s">
        <v>2</v>
      </c>
      <c r="I1" s="3" t="s">
        <v>3</v>
      </c>
    </row>
    <row r="2" spans="1:9" ht="30" x14ac:dyDescent="0.25">
      <c r="A2" s="1" t="s">
        <v>200</v>
      </c>
      <c r="B2" s="3" t="str">
        <f>C2&amp;"_"&amp;E2&amp;"_"&amp;G2</f>
        <v>1_1_1</v>
      </c>
      <c r="C2" s="1">
        <v>1</v>
      </c>
      <c r="D2" s="1" t="s">
        <v>4</v>
      </c>
      <c r="E2" s="1">
        <v>1</v>
      </c>
      <c r="F2" s="1" t="s">
        <v>15</v>
      </c>
      <c r="G2" s="1">
        <v>1</v>
      </c>
      <c r="H2" s="1" t="s">
        <v>42</v>
      </c>
      <c r="I2" s="1" t="s">
        <v>78</v>
      </c>
    </row>
    <row r="3" spans="1:9" ht="30" x14ac:dyDescent="0.25">
      <c r="B3" s="3" t="str">
        <f t="shared" ref="B3:B42" si="0">C3&amp;"_"&amp;E3&amp;"_"&amp;G3</f>
        <v>1_1_2</v>
      </c>
      <c r="C3" s="1">
        <v>1</v>
      </c>
      <c r="D3" s="1" t="s">
        <v>4</v>
      </c>
      <c r="E3" s="1">
        <v>1</v>
      </c>
      <c r="F3" s="1" t="s">
        <v>15</v>
      </c>
      <c r="G3" s="1">
        <v>2</v>
      </c>
      <c r="H3" s="1" t="s">
        <v>43</v>
      </c>
      <c r="I3" s="1" t="s">
        <v>79</v>
      </c>
    </row>
    <row r="4" spans="1:9" ht="29.25" customHeight="1" x14ac:dyDescent="0.25">
      <c r="B4" s="3" t="str">
        <f t="shared" si="0"/>
        <v>1_1_3</v>
      </c>
      <c r="C4" s="1">
        <v>1</v>
      </c>
      <c r="D4" s="1" t="s">
        <v>4</v>
      </c>
      <c r="E4" s="1">
        <v>1</v>
      </c>
      <c r="F4" s="1" t="s">
        <v>15</v>
      </c>
      <c r="G4" s="1">
        <v>3</v>
      </c>
    </row>
    <row r="5" spans="1:9" ht="30" x14ac:dyDescent="0.25">
      <c r="B5" s="3" t="str">
        <f t="shared" si="0"/>
        <v>1_2_1</v>
      </c>
      <c r="C5" s="1">
        <v>1</v>
      </c>
      <c r="D5" s="1" t="s">
        <v>4</v>
      </c>
      <c r="E5" s="1">
        <v>2</v>
      </c>
      <c r="F5" s="1" t="s">
        <v>16</v>
      </c>
      <c r="G5" s="1">
        <v>1</v>
      </c>
      <c r="H5" s="1" t="s">
        <v>44</v>
      </c>
    </row>
    <row r="6" spans="1:9" ht="30" x14ac:dyDescent="0.25">
      <c r="B6" s="3" t="str">
        <f t="shared" si="0"/>
        <v>1_2_2</v>
      </c>
      <c r="C6" s="1">
        <v>1</v>
      </c>
      <c r="D6" s="1" t="s">
        <v>4</v>
      </c>
      <c r="E6" s="1">
        <v>2</v>
      </c>
      <c r="F6" s="1" t="s">
        <v>16</v>
      </c>
      <c r="G6" s="1">
        <v>2</v>
      </c>
      <c r="H6" s="1" t="s">
        <v>45</v>
      </c>
    </row>
    <row r="7" spans="1:9" ht="30" x14ac:dyDescent="0.25">
      <c r="A7" s="7" t="s">
        <v>193</v>
      </c>
      <c r="B7" s="3" t="str">
        <f t="shared" si="0"/>
        <v>1_3_1</v>
      </c>
      <c r="C7" s="1">
        <v>1</v>
      </c>
      <c r="D7" s="1" t="s">
        <v>4</v>
      </c>
      <c r="E7" s="1">
        <v>3</v>
      </c>
      <c r="F7" s="1" t="s">
        <v>84</v>
      </c>
      <c r="G7" s="1">
        <v>1</v>
      </c>
      <c r="H7" s="1" t="s">
        <v>88</v>
      </c>
    </row>
    <row r="8" spans="1:9" ht="30" x14ac:dyDescent="0.25">
      <c r="A8" s="7" t="s">
        <v>193</v>
      </c>
      <c r="B8" s="3" t="str">
        <f t="shared" si="0"/>
        <v>1_3_2</v>
      </c>
      <c r="C8" s="1">
        <v>1</v>
      </c>
      <c r="D8" s="1" t="s">
        <v>4</v>
      </c>
      <c r="E8" s="1">
        <v>3</v>
      </c>
      <c r="F8" s="1" t="s">
        <v>84</v>
      </c>
      <c r="G8" s="1">
        <v>2</v>
      </c>
      <c r="H8" s="1" t="s">
        <v>85</v>
      </c>
    </row>
    <row r="9" spans="1:9" ht="30" x14ac:dyDescent="0.25">
      <c r="A9" s="7" t="s">
        <v>193</v>
      </c>
      <c r="B9" s="3" t="str">
        <f t="shared" si="0"/>
        <v>1_3_3</v>
      </c>
      <c r="C9" s="1">
        <v>1</v>
      </c>
      <c r="D9" s="1" t="s">
        <v>4</v>
      </c>
      <c r="E9" s="1">
        <v>3</v>
      </c>
      <c r="F9" s="1" t="s">
        <v>84</v>
      </c>
      <c r="G9" s="1">
        <v>3</v>
      </c>
      <c r="H9" s="1" t="s">
        <v>86</v>
      </c>
      <c r="I9" s="1" t="s">
        <v>89</v>
      </c>
    </row>
    <row r="10" spans="1:9" ht="30" x14ac:dyDescent="0.25">
      <c r="A10" s="7" t="s">
        <v>193</v>
      </c>
      <c r="B10" s="3" t="str">
        <f t="shared" si="0"/>
        <v>1_3_3</v>
      </c>
      <c r="C10" s="1">
        <v>1</v>
      </c>
      <c r="D10" s="1" t="s">
        <v>4</v>
      </c>
      <c r="E10" s="1">
        <v>3</v>
      </c>
      <c r="F10" s="1" t="s">
        <v>84</v>
      </c>
      <c r="G10" s="1">
        <v>3</v>
      </c>
      <c r="H10" s="1" t="s">
        <v>87</v>
      </c>
    </row>
    <row r="11" spans="1:9" ht="30" x14ac:dyDescent="0.25">
      <c r="A11" s="7" t="s">
        <v>193</v>
      </c>
      <c r="B11" s="3" t="str">
        <f>C11&amp;"_"&amp;E11&amp;"_"&amp;G12</f>
        <v>7_19_1</v>
      </c>
      <c r="C11" s="1">
        <v>7</v>
      </c>
      <c r="D11" s="1" t="s">
        <v>10</v>
      </c>
      <c r="E11" s="1">
        <v>19</v>
      </c>
      <c r="F11" s="1" t="s">
        <v>31</v>
      </c>
      <c r="G11" s="1">
        <v>2</v>
      </c>
      <c r="H11" s="1" t="s">
        <v>65</v>
      </c>
    </row>
    <row r="12" spans="1:9" ht="30" x14ac:dyDescent="0.25">
      <c r="A12" s="7" t="s">
        <v>193</v>
      </c>
      <c r="B12" s="3" t="str">
        <f>C12&amp;"_"&amp;E12&amp;"_"&amp;G12</f>
        <v>7_20_1</v>
      </c>
      <c r="C12" s="1">
        <v>7</v>
      </c>
      <c r="D12" s="1" t="s">
        <v>10</v>
      </c>
      <c r="E12" s="1">
        <v>20</v>
      </c>
      <c r="F12" s="1" t="s">
        <v>32</v>
      </c>
      <c r="G12" s="1">
        <v>1</v>
      </c>
      <c r="H12" s="1" t="s">
        <v>66</v>
      </c>
    </row>
    <row r="13" spans="1:9" ht="30" x14ac:dyDescent="0.25">
      <c r="A13" s="7" t="s">
        <v>193</v>
      </c>
      <c r="B13" s="3" t="str">
        <f>C13&amp;"_"&amp;E13&amp;"_"&amp;G13</f>
        <v>7_21_1</v>
      </c>
      <c r="C13" s="1">
        <v>7</v>
      </c>
      <c r="D13" s="1" t="s">
        <v>10</v>
      </c>
      <c r="E13" s="1">
        <v>21</v>
      </c>
      <c r="F13" s="1" t="s">
        <v>33</v>
      </c>
      <c r="G13" s="1">
        <v>1</v>
      </c>
      <c r="H13" s="1" t="s">
        <v>67</v>
      </c>
    </row>
    <row r="14" spans="1:9" ht="30" x14ac:dyDescent="0.25">
      <c r="A14" s="1" t="s">
        <v>198</v>
      </c>
      <c r="B14" s="3" t="str">
        <f t="shared" si="0"/>
        <v>2_4_1</v>
      </c>
      <c r="C14" s="1">
        <v>2</v>
      </c>
      <c r="D14" s="1" t="s">
        <v>5</v>
      </c>
      <c r="E14" s="1">
        <v>4</v>
      </c>
      <c r="F14" s="1" t="s">
        <v>17</v>
      </c>
      <c r="G14" s="1">
        <v>1</v>
      </c>
      <c r="H14" s="1" t="s">
        <v>46</v>
      </c>
      <c r="I14" s="1" t="s">
        <v>80</v>
      </c>
    </row>
    <row r="15" spans="1:9" ht="30" x14ac:dyDescent="0.25">
      <c r="B15" s="3" t="str">
        <f t="shared" si="0"/>
        <v>2_4_2</v>
      </c>
      <c r="C15" s="1">
        <v>2</v>
      </c>
      <c r="D15" s="1" t="s">
        <v>5</v>
      </c>
      <c r="E15" s="1">
        <v>4</v>
      </c>
      <c r="F15" s="1" t="s">
        <v>17</v>
      </c>
      <c r="G15" s="1">
        <v>2</v>
      </c>
      <c r="H15" s="1" t="s">
        <v>47</v>
      </c>
    </row>
    <row r="16" spans="1:9" ht="30" x14ac:dyDescent="0.25">
      <c r="B16" s="3" t="str">
        <f t="shared" si="0"/>
        <v>2_5_1</v>
      </c>
      <c r="C16" s="1">
        <v>2</v>
      </c>
      <c r="D16" s="1" t="s">
        <v>5</v>
      </c>
      <c r="E16" s="1">
        <v>5</v>
      </c>
      <c r="F16" s="1" t="s">
        <v>18</v>
      </c>
      <c r="G16" s="1">
        <v>1</v>
      </c>
      <c r="H16" s="1" t="s">
        <v>48</v>
      </c>
    </row>
    <row r="17" spans="1:9" ht="30" x14ac:dyDescent="0.25">
      <c r="A17" s="1" t="s">
        <v>199</v>
      </c>
      <c r="B17" s="3" t="str">
        <f t="shared" si="0"/>
        <v>3_6_1</v>
      </c>
      <c r="C17" s="1">
        <v>3</v>
      </c>
      <c r="D17" s="1" t="s">
        <v>6</v>
      </c>
      <c r="E17" s="1">
        <v>6</v>
      </c>
      <c r="F17" s="1" t="s">
        <v>19</v>
      </c>
      <c r="G17" s="1">
        <v>1</v>
      </c>
      <c r="H17" s="1" t="s">
        <v>49</v>
      </c>
      <c r="I17" s="1" t="s">
        <v>81</v>
      </c>
    </row>
    <row r="18" spans="1:9" ht="30" x14ac:dyDescent="0.25">
      <c r="B18" s="3" t="str">
        <f t="shared" si="0"/>
        <v>3_7_1</v>
      </c>
      <c r="C18" s="1">
        <v>3</v>
      </c>
      <c r="D18" s="1" t="s">
        <v>6</v>
      </c>
      <c r="E18" s="1">
        <v>7</v>
      </c>
      <c r="F18" s="1" t="s">
        <v>20</v>
      </c>
      <c r="G18" s="1">
        <v>1</v>
      </c>
      <c r="H18" s="1" t="s">
        <v>50</v>
      </c>
      <c r="I18" s="1" t="s">
        <v>82</v>
      </c>
    </row>
    <row r="19" spans="1:9" ht="30" x14ac:dyDescent="0.25">
      <c r="B19" s="3" t="str">
        <f t="shared" si="0"/>
        <v>3_8_1</v>
      </c>
      <c r="C19" s="1">
        <v>3</v>
      </c>
      <c r="D19" s="1" t="s">
        <v>6</v>
      </c>
      <c r="E19" s="1">
        <v>8</v>
      </c>
      <c r="F19" s="1" t="s">
        <v>21</v>
      </c>
      <c r="G19" s="1">
        <v>1</v>
      </c>
      <c r="H19" s="1" t="s">
        <v>51</v>
      </c>
    </row>
    <row r="20" spans="1:9" ht="30" x14ac:dyDescent="0.25">
      <c r="B20" s="3" t="str">
        <f t="shared" si="0"/>
        <v>3_8_2</v>
      </c>
      <c r="C20" s="1">
        <v>3</v>
      </c>
      <c r="D20" s="1" t="s">
        <v>6</v>
      </c>
      <c r="E20" s="1">
        <v>8</v>
      </c>
      <c r="F20" s="1" t="s">
        <v>21</v>
      </c>
      <c r="G20" s="1">
        <v>2</v>
      </c>
      <c r="H20" s="1" t="s">
        <v>52</v>
      </c>
    </row>
    <row r="21" spans="1:9" ht="30" x14ac:dyDescent="0.25">
      <c r="B21" s="3" t="str">
        <f t="shared" si="0"/>
        <v>3_9_1</v>
      </c>
      <c r="C21" s="1">
        <v>3</v>
      </c>
      <c r="D21" s="1" t="s">
        <v>6</v>
      </c>
      <c r="E21" s="1">
        <v>9</v>
      </c>
      <c r="F21" s="1" t="s">
        <v>22</v>
      </c>
      <c r="G21" s="1">
        <v>1</v>
      </c>
      <c r="H21" s="1" t="s">
        <v>53</v>
      </c>
    </row>
    <row r="22" spans="1:9" ht="30" x14ac:dyDescent="0.25">
      <c r="A22" s="1" t="s">
        <v>196</v>
      </c>
      <c r="B22" s="3" t="str">
        <f t="shared" si="0"/>
        <v>4_10_1</v>
      </c>
      <c r="C22" s="1">
        <v>4</v>
      </c>
      <c r="D22" s="1" t="s">
        <v>7</v>
      </c>
      <c r="E22" s="1">
        <v>10</v>
      </c>
      <c r="F22" s="1" t="s">
        <v>23</v>
      </c>
      <c r="G22" s="1">
        <v>1</v>
      </c>
      <c r="H22" s="1" t="s">
        <v>54</v>
      </c>
    </row>
    <row r="23" spans="1:9" ht="30" x14ac:dyDescent="0.25">
      <c r="B23" s="3" t="str">
        <f t="shared" si="0"/>
        <v>4_10_2</v>
      </c>
      <c r="C23" s="1">
        <v>4</v>
      </c>
      <c r="D23" s="1" t="s">
        <v>7</v>
      </c>
      <c r="E23" s="1">
        <v>10</v>
      </c>
      <c r="F23" s="1" t="s">
        <v>23</v>
      </c>
      <c r="G23" s="1">
        <v>2</v>
      </c>
      <c r="H23" s="1" t="s">
        <v>55</v>
      </c>
    </row>
    <row r="24" spans="1:9" ht="30" x14ac:dyDescent="0.25">
      <c r="B24" s="3" t="str">
        <f t="shared" si="0"/>
        <v>4_11_1</v>
      </c>
      <c r="C24" s="1">
        <v>4</v>
      </c>
      <c r="D24" s="1" t="s">
        <v>7</v>
      </c>
      <c r="E24" s="1">
        <v>11</v>
      </c>
      <c r="F24" s="1" t="s">
        <v>24</v>
      </c>
      <c r="G24" s="1">
        <v>1</v>
      </c>
      <c r="H24" s="1" t="s">
        <v>56</v>
      </c>
    </row>
    <row r="25" spans="1:9" ht="30" x14ac:dyDescent="0.25">
      <c r="B25" s="3" t="str">
        <f t="shared" si="0"/>
        <v>4_11_2</v>
      </c>
      <c r="C25" s="1">
        <v>4</v>
      </c>
      <c r="D25" s="1" t="s">
        <v>7</v>
      </c>
      <c r="E25" s="1">
        <v>11</v>
      </c>
      <c r="F25" s="1" t="s">
        <v>24</v>
      </c>
      <c r="G25" s="1">
        <v>2</v>
      </c>
      <c r="H25" s="1" t="s">
        <v>57</v>
      </c>
    </row>
    <row r="26" spans="1:9" ht="30" x14ac:dyDescent="0.25">
      <c r="B26" s="3" t="str">
        <f t="shared" si="0"/>
        <v>4_12_1</v>
      </c>
      <c r="C26" s="1">
        <v>4</v>
      </c>
      <c r="D26" s="1" t="s">
        <v>7</v>
      </c>
      <c r="E26" s="1">
        <v>12</v>
      </c>
      <c r="F26" s="1" t="s">
        <v>25</v>
      </c>
      <c r="G26" s="1">
        <v>1</v>
      </c>
      <c r="H26" s="1" t="s">
        <v>58</v>
      </c>
    </row>
    <row r="27" spans="1:9" ht="30" x14ac:dyDescent="0.25">
      <c r="A27" s="1" t="s">
        <v>195</v>
      </c>
      <c r="B27" s="3" t="str">
        <f t="shared" si="0"/>
        <v>5_13_1</v>
      </c>
      <c r="C27" s="1">
        <v>5</v>
      </c>
      <c r="D27" s="1" t="s">
        <v>8</v>
      </c>
      <c r="E27" s="1">
        <v>13</v>
      </c>
      <c r="F27" s="1" t="s">
        <v>26</v>
      </c>
      <c r="G27" s="1">
        <v>1</v>
      </c>
      <c r="H27" s="1" t="s">
        <v>59</v>
      </c>
      <c r="I27" s="1" t="s">
        <v>83</v>
      </c>
    </row>
    <row r="28" spans="1:9" ht="30" x14ac:dyDescent="0.25">
      <c r="B28" s="3" t="str">
        <f t="shared" si="0"/>
        <v>5_14_1</v>
      </c>
      <c r="C28" s="1">
        <v>5</v>
      </c>
      <c r="D28" s="1" t="s">
        <v>8</v>
      </c>
      <c r="E28" s="1">
        <v>14</v>
      </c>
      <c r="F28" s="1" t="s">
        <v>27</v>
      </c>
      <c r="G28" s="1">
        <v>1</v>
      </c>
      <c r="H28" s="1" t="s">
        <v>60</v>
      </c>
    </row>
    <row r="29" spans="1:9" ht="30" x14ac:dyDescent="0.25">
      <c r="B29" s="3" t="str">
        <f t="shared" si="0"/>
        <v>5_15_1</v>
      </c>
      <c r="C29" s="1">
        <v>5</v>
      </c>
      <c r="D29" s="1" t="s">
        <v>8</v>
      </c>
      <c r="E29" s="1">
        <v>15</v>
      </c>
      <c r="F29" s="1" t="s">
        <v>28</v>
      </c>
      <c r="G29" s="1">
        <v>1</v>
      </c>
      <c r="H29" s="1" t="s">
        <v>61</v>
      </c>
    </row>
    <row r="30" spans="1:9" ht="30" x14ac:dyDescent="0.25">
      <c r="A30" s="1" t="s">
        <v>194</v>
      </c>
      <c r="B30" s="3" t="str">
        <f t="shared" si="0"/>
        <v>6_16_1</v>
      </c>
      <c r="C30" s="1">
        <v>6</v>
      </c>
      <c r="D30" s="1" t="s">
        <v>9</v>
      </c>
      <c r="E30" s="1">
        <v>16</v>
      </c>
      <c r="F30" s="1" t="s">
        <v>29</v>
      </c>
      <c r="G30" s="1">
        <v>1</v>
      </c>
      <c r="H30" s="1" t="s">
        <v>62</v>
      </c>
    </row>
    <row r="31" spans="1:9" ht="30" x14ac:dyDescent="0.25">
      <c r="B31" s="3" t="str">
        <f t="shared" si="0"/>
        <v>6_17_1</v>
      </c>
      <c r="C31" s="1">
        <v>6</v>
      </c>
      <c r="D31" s="1" t="s">
        <v>9</v>
      </c>
      <c r="E31" s="1">
        <v>17</v>
      </c>
      <c r="F31" s="1" t="s">
        <v>30</v>
      </c>
      <c r="G31" s="1">
        <v>1</v>
      </c>
      <c r="H31" s="1" t="s">
        <v>63</v>
      </c>
    </row>
    <row r="32" spans="1:9" ht="30" x14ac:dyDescent="0.25">
      <c r="B32" s="3" t="str">
        <f>C32&amp;"_"&amp;E32&amp;"_"&amp;G11</f>
        <v>6_17_2</v>
      </c>
      <c r="C32" s="1">
        <v>6</v>
      </c>
      <c r="D32" s="1" t="s">
        <v>9</v>
      </c>
      <c r="E32" s="1">
        <v>17</v>
      </c>
      <c r="F32" s="1" t="s">
        <v>30</v>
      </c>
      <c r="G32" s="1">
        <v>2</v>
      </c>
      <c r="H32" s="1" t="s">
        <v>64</v>
      </c>
    </row>
    <row r="33" spans="1:8" ht="30" x14ac:dyDescent="0.25">
      <c r="A33" s="1" t="s">
        <v>192</v>
      </c>
      <c r="B33" s="3" t="str">
        <f t="shared" si="0"/>
        <v>8_22_1</v>
      </c>
      <c r="C33" s="1">
        <v>8</v>
      </c>
      <c r="D33" s="1" t="s">
        <v>11</v>
      </c>
      <c r="E33" s="1">
        <v>22</v>
      </c>
      <c r="F33" s="1" t="s">
        <v>34</v>
      </c>
      <c r="G33" s="1">
        <v>1</v>
      </c>
      <c r="H33" s="1" t="s">
        <v>68</v>
      </c>
    </row>
    <row r="34" spans="1:8" ht="30" x14ac:dyDescent="0.25">
      <c r="B34" s="3" t="str">
        <f t="shared" si="0"/>
        <v>8_22_2</v>
      </c>
      <c r="C34" s="1">
        <v>8</v>
      </c>
      <c r="D34" s="1" t="s">
        <v>11</v>
      </c>
      <c r="E34" s="1">
        <v>22</v>
      </c>
      <c r="F34" s="1" t="s">
        <v>34</v>
      </c>
      <c r="G34" s="1">
        <v>2</v>
      </c>
      <c r="H34" s="1" t="s">
        <v>69</v>
      </c>
    </row>
    <row r="35" spans="1:8" ht="30" x14ac:dyDescent="0.25">
      <c r="A35" s="1" t="s">
        <v>197</v>
      </c>
      <c r="B35" s="3" t="str">
        <f t="shared" si="0"/>
        <v>9_23_1</v>
      </c>
      <c r="C35" s="1">
        <v>9</v>
      </c>
      <c r="D35" s="1" t="s">
        <v>12</v>
      </c>
      <c r="E35" s="1">
        <v>23</v>
      </c>
      <c r="F35" s="1" t="s">
        <v>35</v>
      </c>
      <c r="G35" s="1">
        <v>1</v>
      </c>
      <c r="H35" s="1" t="s">
        <v>70</v>
      </c>
    </row>
    <row r="36" spans="1:8" ht="30" x14ac:dyDescent="0.25">
      <c r="B36" s="3" t="str">
        <f t="shared" si="0"/>
        <v>9_23_2</v>
      </c>
      <c r="C36" s="1">
        <v>9</v>
      </c>
      <c r="D36" s="1" t="s">
        <v>12</v>
      </c>
      <c r="E36" s="1">
        <v>23</v>
      </c>
      <c r="F36" s="1" t="s">
        <v>35</v>
      </c>
      <c r="G36" s="1">
        <v>2</v>
      </c>
      <c r="H36" s="1" t="s">
        <v>71</v>
      </c>
    </row>
    <row r="37" spans="1:8" s="6" customFormat="1" ht="30" x14ac:dyDescent="0.25">
      <c r="B37" s="3" t="str">
        <f t="shared" si="0"/>
        <v>10_24_1</v>
      </c>
      <c r="C37" s="6">
        <v>10</v>
      </c>
      <c r="D37" s="6" t="s">
        <v>13</v>
      </c>
      <c r="E37" s="6">
        <v>24</v>
      </c>
      <c r="F37" s="6" t="s">
        <v>36</v>
      </c>
      <c r="G37" s="6">
        <v>1</v>
      </c>
      <c r="H37" s="6" t="s">
        <v>72</v>
      </c>
    </row>
    <row r="38" spans="1:8" s="6" customFormat="1" ht="30" x14ac:dyDescent="0.25">
      <c r="B38" s="3" t="str">
        <f t="shared" si="0"/>
        <v>10_25_2</v>
      </c>
      <c r="C38" s="6">
        <v>10</v>
      </c>
      <c r="D38" s="6" t="s">
        <v>13</v>
      </c>
      <c r="E38" s="6">
        <v>25</v>
      </c>
      <c r="F38" s="6" t="s">
        <v>37</v>
      </c>
      <c r="G38" s="6">
        <v>2</v>
      </c>
      <c r="H38" s="6" t="s">
        <v>73</v>
      </c>
    </row>
    <row r="39" spans="1:8" s="6" customFormat="1" ht="30" x14ac:dyDescent="0.25">
      <c r="A39" s="6" t="s">
        <v>191</v>
      </c>
      <c r="B39" s="3" t="str">
        <f t="shared" si="0"/>
        <v>10_26_3</v>
      </c>
      <c r="C39" s="6">
        <v>10</v>
      </c>
      <c r="D39" s="6" t="s">
        <v>13</v>
      </c>
      <c r="E39" s="6">
        <v>26</v>
      </c>
      <c r="F39" s="6" t="s">
        <v>38</v>
      </c>
      <c r="G39" s="6">
        <v>3</v>
      </c>
      <c r="H39" s="6" t="s">
        <v>74</v>
      </c>
    </row>
    <row r="40" spans="1:8" ht="30" x14ac:dyDescent="0.25">
      <c r="A40" s="1" t="s">
        <v>190</v>
      </c>
      <c r="B40" s="3" t="str">
        <f t="shared" si="0"/>
        <v>11_28_1</v>
      </c>
      <c r="C40" s="1">
        <v>11</v>
      </c>
      <c r="D40" s="1" t="s">
        <v>14</v>
      </c>
      <c r="E40" s="1">
        <v>28</v>
      </c>
      <c r="F40" s="1" t="s">
        <v>39</v>
      </c>
      <c r="G40" s="1">
        <v>1</v>
      </c>
      <c r="H40" s="1" t="s">
        <v>75</v>
      </c>
    </row>
    <row r="41" spans="1:8" ht="30" x14ac:dyDescent="0.25">
      <c r="B41" s="3" t="str">
        <f t="shared" si="0"/>
        <v>11_29_1</v>
      </c>
      <c r="C41" s="1">
        <v>11</v>
      </c>
      <c r="D41" s="1" t="s">
        <v>14</v>
      </c>
      <c r="E41" s="1">
        <v>29</v>
      </c>
      <c r="F41" s="1" t="s">
        <v>40</v>
      </c>
      <c r="G41" s="1">
        <v>1</v>
      </c>
      <c r="H41" s="1" t="s">
        <v>76</v>
      </c>
    </row>
    <row r="42" spans="1:8" ht="30" x14ac:dyDescent="0.25">
      <c r="B42" s="3" t="str">
        <f t="shared" si="0"/>
        <v>11_30_1</v>
      </c>
      <c r="C42" s="1">
        <v>11</v>
      </c>
      <c r="D42" s="1" t="s">
        <v>14</v>
      </c>
      <c r="E42" s="1">
        <v>30</v>
      </c>
      <c r="F42" s="1" t="s">
        <v>41</v>
      </c>
      <c r="G42" s="1">
        <v>1</v>
      </c>
      <c r="H42" s="1" t="s">
        <v>77</v>
      </c>
    </row>
    <row r="43" spans="1:8" ht="30" x14ac:dyDescent="0.25">
      <c r="B43" s="3" t="str">
        <f t="shared" ref="B43" si="1">C43&amp;"_"&amp;E43&amp;"_"&amp;G43</f>
        <v>11_30_2</v>
      </c>
      <c r="C43" s="1">
        <v>11</v>
      </c>
      <c r="D43" s="1" t="s">
        <v>14</v>
      </c>
      <c r="E43" s="1">
        <v>30</v>
      </c>
      <c r="F43" s="1" t="s">
        <v>41</v>
      </c>
      <c r="G43" s="1">
        <v>2</v>
      </c>
      <c r="H43" s="1" t="s">
        <v>201</v>
      </c>
    </row>
    <row r="44" spans="1:8" x14ac:dyDescent="0.25">
      <c r="C44" s="1">
        <v>12</v>
      </c>
      <c r="D44" s="1" t="s">
        <v>202</v>
      </c>
      <c r="E44" s="1">
        <v>31</v>
      </c>
      <c r="F44" s="1" t="s">
        <v>203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CABF-582C-4D4D-885A-43B773B894A6}">
  <dimension ref="A7:AB50"/>
  <sheetViews>
    <sheetView workbookViewId="0">
      <selection activeCell="C42" sqref="C42"/>
    </sheetView>
  </sheetViews>
  <sheetFormatPr defaultRowHeight="15" x14ac:dyDescent="0.25"/>
  <cols>
    <col min="2" max="2" width="23.7109375" customWidth="1"/>
  </cols>
  <sheetData>
    <row r="7" spans="1:28" s="2" customFormat="1" x14ac:dyDescent="0.25">
      <c r="A7" s="2" t="s">
        <v>91</v>
      </c>
      <c r="B7" s="2" t="s">
        <v>92</v>
      </c>
      <c r="C7" s="2" t="s">
        <v>93</v>
      </c>
      <c r="D7" s="2" t="s">
        <v>94</v>
      </c>
      <c r="E7" s="2" t="s">
        <v>95</v>
      </c>
      <c r="F7" s="2" t="s">
        <v>96</v>
      </c>
      <c r="G7" s="2" t="s">
        <v>97</v>
      </c>
      <c r="H7" s="2" t="s">
        <v>98</v>
      </c>
      <c r="R7" s="2" t="s">
        <v>99</v>
      </c>
      <c r="S7" s="2" t="s">
        <v>100</v>
      </c>
      <c r="T7" s="2" t="s">
        <v>101</v>
      </c>
      <c r="U7" s="2" t="s">
        <v>102</v>
      </c>
      <c r="V7" s="2" t="s">
        <v>102</v>
      </c>
      <c r="W7" s="2">
        <v>85764</v>
      </c>
      <c r="X7" s="2">
        <v>2115594</v>
      </c>
      <c r="AB7" s="2" t="s">
        <v>103</v>
      </c>
    </row>
    <row r="8" spans="1:28" s="2" customFormat="1" x14ac:dyDescent="0.25">
      <c r="A8" s="2" t="s">
        <v>91</v>
      </c>
      <c r="B8" s="2" t="s">
        <v>92</v>
      </c>
      <c r="C8" s="2" t="s">
        <v>93</v>
      </c>
      <c r="D8" s="2" t="s">
        <v>104</v>
      </c>
      <c r="E8" s="2" t="s">
        <v>95</v>
      </c>
      <c r="F8" s="2" t="s">
        <v>96</v>
      </c>
      <c r="G8" s="2" t="s">
        <v>105</v>
      </c>
      <c r="H8" s="2" t="s">
        <v>106</v>
      </c>
      <c r="J8" s="2" t="s">
        <v>107</v>
      </c>
      <c r="R8" s="2" t="s">
        <v>99</v>
      </c>
      <c r="S8" s="2" t="s">
        <v>100</v>
      </c>
      <c r="T8" s="2" t="s">
        <v>101</v>
      </c>
      <c r="U8" s="2" t="s">
        <v>102</v>
      </c>
      <c r="V8" s="2" t="s">
        <v>102</v>
      </c>
      <c r="W8" s="2">
        <v>85764</v>
      </c>
      <c r="X8" s="2">
        <v>2115586</v>
      </c>
      <c r="AB8" s="2" t="s">
        <v>103</v>
      </c>
    </row>
    <row r="9" spans="1:28" s="2" customFormat="1" x14ac:dyDescent="0.25">
      <c r="A9" s="2" t="s">
        <v>91</v>
      </c>
      <c r="B9" s="2" t="s">
        <v>92</v>
      </c>
      <c r="C9" s="2" t="s">
        <v>93</v>
      </c>
      <c r="D9" s="2" t="s">
        <v>108</v>
      </c>
      <c r="E9" s="2" t="s">
        <v>95</v>
      </c>
      <c r="F9" s="2" t="s">
        <v>109</v>
      </c>
      <c r="G9" s="2" t="s">
        <v>110</v>
      </c>
      <c r="H9" s="2" t="s">
        <v>111</v>
      </c>
      <c r="R9" s="2" t="s">
        <v>99</v>
      </c>
      <c r="S9" s="2" t="s">
        <v>100</v>
      </c>
      <c r="T9" s="2" t="s">
        <v>101</v>
      </c>
      <c r="U9" s="2" t="s">
        <v>102</v>
      </c>
      <c r="V9" s="2" t="s">
        <v>102</v>
      </c>
      <c r="W9" s="2">
        <v>85764</v>
      </c>
      <c r="X9" s="2">
        <v>2115624</v>
      </c>
      <c r="AB9" s="2" t="s">
        <v>103</v>
      </c>
    </row>
    <row r="10" spans="1:28" s="2" customFormat="1" x14ac:dyDescent="0.25">
      <c r="A10" s="2" t="s">
        <v>91</v>
      </c>
      <c r="B10" s="2" t="s">
        <v>92</v>
      </c>
      <c r="C10" s="2" t="s">
        <v>93</v>
      </c>
      <c r="D10" s="2" t="s">
        <v>112</v>
      </c>
      <c r="E10" s="2" t="s">
        <v>95</v>
      </c>
      <c r="F10" s="2" t="s">
        <v>109</v>
      </c>
      <c r="G10" s="2" t="s">
        <v>113</v>
      </c>
      <c r="H10" s="2" t="s">
        <v>114</v>
      </c>
      <c r="R10" s="2" t="s">
        <v>99</v>
      </c>
      <c r="S10" s="2" t="s">
        <v>100</v>
      </c>
      <c r="T10" s="2" t="s">
        <v>101</v>
      </c>
      <c r="U10" s="2" t="s">
        <v>102</v>
      </c>
      <c r="V10" s="2" t="s">
        <v>102</v>
      </c>
      <c r="W10" s="2">
        <v>85764</v>
      </c>
      <c r="X10" s="2">
        <v>2115625</v>
      </c>
      <c r="AB10" s="2" t="s">
        <v>103</v>
      </c>
    </row>
    <row r="11" spans="1:28" s="2" customFormat="1" x14ac:dyDescent="0.25">
      <c r="A11" s="2" t="s">
        <v>91</v>
      </c>
      <c r="B11" s="2" t="s">
        <v>92</v>
      </c>
      <c r="C11" s="2" t="s">
        <v>93</v>
      </c>
      <c r="D11" s="2" t="s">
        <v>115</v>
      </c>
      <c r="E11" s="2" t="s">
        <v>95</v>
      </c>
      <c r="F11" s="2" t="s">
        <v>109</v>
      </c>
      <c r="G11" s="2" t="s">
        <v>116</v>
      </c>
      <c r="H11" s="2" t="s">
        <v>117</v>
      </c>
      <c r="R11" s="2" t="s">
        <v>99</v>
      </c>
      <c r="S11" s="2" t="s">
        <v>100</v>
      </c>
      <c r="T11" s="2" t="s">
        <v>101</v>
      </c>
      <c r="U11" s="2" t="s">
        <v>102</v>
      </c>
      <c r="V11" s="2" t="s">
        <v>102</v>
      </c>
      <c r="W11" s="2">
        <v>85764</v>
      </c>
      <c r="X11" s="2">
        <v>2115626</v>
      </c>
      <c r="AB11" s="2" t="s">
        <v>103</v>
      </c>
    </row>
    <row r="12" spans="1:28" s="2" customFormat="1" x14ac:dyDescent="0.25">
      <c r="A12" s="2" t="s">
        <v>91</v>
      </c>
      <c r="B12" s="2" t="s">
        <v>92</v>
      </c>
      <c r="C12" s="2" t="s">
        <v>93</v>
      </c>
      <c r="D12" s="2" t="s">
        <v>118</v>
      </c>
      <c r="E12" s="2" t="s">
        <v>95</v>
      </c>
      <c r="F12" s="2" t="s">
        <v>109</v>
      </c>
      <c r="G12" s="2" t="s">
        <v>119</v>
      </c>
      <c r="H12" s="2" t="s">
        <v>120</v>
      </c>
      <c r="R12" s="2" t="s">
        <v>99</v>
      </c>
      <c r="S12" s="2" t="s">
        <v>100</v>
      </c>
      <c r="T12" s="2" t="s">
        <v>101</v>
      </c>
      <c r="U12" s="2" t="s">
        <v>102</v>
      </c>
      <c r="V12" s="2" t="s">
        <v>102</v>
      </c>
      <c r="W12" s="2">
        <v>85764</v>
      </c>
      <c r="X12" s="2">
        <v>2115629</v>
      </c>
      <c r="AB12" s="2" t="s">
        <v>103</v>
      </c>
    </row>
    <row r="13" spans="1:28" s="2" customFormat="1" x14ac:dyDescent="0.25">
      <c r="A13" s="2" t="s">
        <v>91</v>
      </c>
      <c r="B13" s="2" t="s">
        <v>92</v>
      </c>
      <c r="C13" s="2" t="s">
        <v>93</v>
      </c>
      <c r="D13" s="2" t="s">
        <v>121</v>
      </c>
      <c r="E13" s="2" t="s">
        <v>95</v>
      </c>
      <c r="F13" s="2" t="s">
        <v>122</v>
      </c>
      <c r="G13" s="2" t="s">
        <v>123</v>
      </c>
      <c r="H13" s="2" t="s">
        <v>124</v>
      </c>
      <c r="R13" s="2" t="s">
        <v>99</v>
      </c>
      <c r="S13" s="2" t="s">
        <v>100</v>
      </c>
      <c r="T13" s="2" t="s">
        <v>101</v>
      </c>
      <c r="U13" s="2" t="s">
        <v>102</v>
      </c>
      <c r="V13" s="2" t="s">
        <v>102</v>
      </c>
      <c r="W13" s="2">
        <v>85764</v>
      </c>
      <c r="X13" s="2">
        <v>2115670</v>
      </c>
      <c r="AB13" s="2" t="s">
        <v>103</v>
      </c>
    </row>
    <row r="14" spans="1:28" s="2" customFormat="1" x14ac:dyDescent="0.25">
      <c r="A14" s="2" t="s">
        <v>91</v>
      </c>
      <c r="B14" s="2" t="s">
        <v>92</v>
      </c>
      <c r="C14" s="2" t="s">
        <v>93</v>
      </c>
      <c r="D14" s="2" t="s">
        <v>125</v>
      </c>
      <c r="E14" s="2" t="s">
        <v>95</v>
      </c>
      <c r="F14" s="2" t="s">
        <v>125</v>
      </c>
      <c r="G14" s="2" t="s">
        <v>126</v>
      </c>
      <c r="H14" s="2" t="s">
        <v>127</v>
      </c>
      <c r="R14" s="2" t="s">
        <v>99</v>
      </c>
      <c r="S14" s="2" t="s">
        <v>100</v>
      </c>
      <c r="T14" s="2" t="s">
        <v>101</v>
      </c>
      <c r="U14" s="2" t="s">
        <v>102</v>
      </c>
      <c r="V14" s="2" t="s">
        <v>102</v>
      </c>
      <c r="W14" s="2">
        <v>85764</v>
      </c>
      <c r="X14" s="2">
        <v>2116681</v>
      </c>
      <c r="AB14" s="2" t="s">
        <v>103</v>
      </c>
    </row>
    <row r="15" spans="1:28" s="2" customFormat="1" x14ac:dyDescent="0.25">
      <c r="A15" s="2" t="s">
        <v>91</v>
      </c>
      <c r="B15" s="2" t="s">
        <v>92</v>
      </c>
      <c r="C15" s="2" t="s">
        <v>93</v>
      </c>
      <c r="D15" s="2" t="s">
        <v>128</v>
      </c>
      <c r="E15" s="2" t="s">
        <v>95</v>
      </c>
      <c r="F15" s="2" t="s">
        <v>129</v>
      </c>
      <c r="G15" s="2" t="s">
        <v>130</v>
      </c>
      <c r="H15" s="2" t="s">
        <v>131</v>
      </c>
      <c r="R15" s="2" t="s">
        <v>99</v>
      </c>
      <c r="S15" s="2" t="s">
        <v>100</v>
      </c>
      <c r="T15" s="2" t="s">
        <v>101</v>
      </c>
      <c r="U15" s="2" t="s">
        <v>102</v>
      </c>
      <c r="V15" s="2" t="s">
        <v>102</v>
      </c>
      <c r="W15" s="2">
        <v>85764</v>
      </c>
      <c r="X15" s="2">
        <v>2116817</v>
      </c>
      <c r="AB15" s="2" t="s">
        <v>103</v>
      </c>
    </row>
    <row r="16" spans="1:28" s="2" customFormat="1" x14ac:dyDescent="0.25">
      <c r="A16" s="2" t="s">
        <v>91</v>
      </c>
      <c r="B16" s="2" t="s">
        <v>92</v>
      </c>
      <c r="C16" s="2" t="s">
        <v>93</v>
      </c>
      <c r="D16" s="2" t="s">
        <v>132</v>
      </c>
      <c r="E16" s="2" t="s">
        <v>95</v>
      </c>
      <c r="F16" s="2" t="s">
        <v>129</v>
      </c>
      <c r="G16" s="2" t="s">
        <v>133</v>
      </c>
      <c r="H16" s="2" t="s">
        <v>134</v>
      </c>
      <c r="R16" s="2" t="s">
        <v>99</v>
      </c>
      <c r="S16" s="2" t="s">
        <v>100</v>
      </c>
      <c r="T16" s="2" t="s">
        <v>101</v>
      </c>
      <c r="U16" s="2" t="s">
        <v>102</v>
      </c>
      <c r="V16" s="2" t="s">
        <v>102</v>
      </c>
      <c r="W16" s="2">
        <v>85764</v>
      </c>
      <c r="X16" s="2">
        <v>2298973</v>
      </c>
      <c r="AB16" s="2" t="s">
        <v>103</v>
      </c>
    </row>
    <row r="17" spans="1:28" s="2" customFormat="1" x14ac:dyDescent="0.25">
      <c r="A17" s="2" t="s">
        <v>91</v>
      </c>
      <c r="B17" s="2" t="s">
        <v>92</v>
      </c>
      <c r="C17" s="2" t="s">
        <v>93</v>
      </c>
      <c r="D17" s="2" t="s">
        <v>135</v>
      </c>
      <c r="E17" s="2" t="s">
        <v>95</v>
      </c>
      <c r="F17" s="2" t="s">
        <v>136</v>
      </c>
      <c r="G17" s="2" t="s">
        <v>137</v>
      </c>
      <c r="H17" s="2" t="s">
        <v>138</v>
      </c>
      <c r="R17" s="2" t="s">
        <v>99</v>
      </c>
      <c r="S17" s="2" t="s">
        <v>100</v>
      </c>
      <c r="T17" s="2" t="s">
        <v>101</v>
      </c>
      <c r="U17" s="2" t="s">
        <v>102</v>
      </c>
      <c r="V17" s="2" t="s">
        <v>139</v>
      </c>
      <c r="W17" s="2">
        <v>85764</v>
      </c>
      <c r="X17" s="2">
        <v>2115660</v>
      </c>
      <c r="AB17" s="2" t="s">
        <v>103</v>
      </c>
    </row>
    <row r="18" spans="1:28" s="2" customFormat="1" x14ac:dyDescent="0.25">
      <c r="A18" s="2" t="s">
        <v>91</v>
      </c>
      <c r="B18" s="2" t="s">
        <v>92</v>
      </c>
      <c r="C18" s="2" t="s">
        <v>93</v>
      </c>
      <c r="D18" s="2" t="s">
        <v>140</v>
      </c>
      <c r="E18" s="2" t="s">
        <v>95</v>
      </c>
      <c r="F18" s="2" t="s">
        <v>136</v>
      </c>
      <c r="G18" s="2" t="s">
        <v>141</v>
      </c>
      <c r="H18" s="2" t="s">
        <v>142</v>
      </c>
      <c r="R18" s="2" t="s">
        <v>99</v>
      </c>
      <c r="S18" s="2" t="s">
        <v>100</v>
      </c>
      <c r="T18" s="2" t="s">
        <v>101</v>
      </c>
      <c r="U18" s="2" t="s">
        <v>102</v>
      </c>
      <c r="V18" s="2" t="s">
        <v>102</v>
      </c>
      <c r="W18" s="2">
        <v>85764</v>
      </c>
      <c r="X18" s="2">
        <v>2115665</v>
      </c>
      <c r="AB18" s="2" t="s">
        <v>103</v>
      </c>
    </row>
    <row r="19" spans="1:28" s="2" customFormat="1" x14ac:dyDescent="0.25">
      <c r="A19" s="2" t="s">
        <v>91</v>
      </c>
      <c r="B19" s="2" t="s">
        <v>92</v>
      </c>
      <c r="C19" s="2" t="s">
        <v>93</v>
      </c>
      <c r="D19" s="2" t="s">
        <v>143</v>
      </c>
      <c r="E19" s="2" t="s">
        <v>95</v>
      </c>
      <c r="F19" s="2" t="s">
        <v>136</v>
      </c>
      <c r="G19" s="2" t="s">
        <v>144</v>
      </c>
      <c r="H19" s="2" t="s">
        <v>145</v>
      </c>
      <c r="R19" s="2" t="s">
        <v>99</v>
      </c>
      <c r="S19" s="2" t="s">
        <v>100</v>
      </c>
      <c r="T19" s="2" t="s">
        <v>101</v>
      </c>
      <c r="U19" s="2" t="s">
        <v>102</v>
      </c>
      <c r="V19" s="2" t="s">
        <v>139</v>
      </c>
      <c r="W19" s="2">
        <v>85764</v>
      </c>
      <c r="X19" s="2">
        <v>2115590</v>
      </c>
      <c r="AB19" s="2" t="s">
        <v>103</v>
      </c>
    </row>
    <row r="20" spans="1:28" s="2" customFormat="1" x14ac:dyDescent="0.25">
      <c r="A20" s="2" t="s">
        <v>91</v>
      </c>
      <c r="B20" s="2" t="s">
        <v>92</v>
      </c>
      <c r="C20" s="2" t="s">
        <v>93</v>
      </c>
      <c r="D20" s="2" t="s">
        <v>146</v>
      </c>
      <c r="E20" s="2" t="s">
        <v>95</v>
      </c>
      <c r="F20" s="2" t="s">
        <v>136</v>
      </c>
      <c r="G20" s="2" t="s">
        <v>147</v>
      </c>
      <c r="H20" s="2" t="s">
        <v>148</v>
      </c>
      <c r="R20" s="2" t="s">
        <v>99</v>
      </c>
      <c r="S20" s="2" t="s">
        <v>100</v>
      </c>
      <c r="T20" s="2" t="s">
        <v>101</v>
      </c>
      <c r="U20" s="2" t="s">
        <v>102</v>
      </c>
      <c r="V20" s="2" t="s">
        <v>102</v>
      </c>
      <c r="W20" s="2">
        <v>85764</v>
      </c>
      <c r="X20" s="2">
        <v>2115593</v>
      </c>
      <c r="AB20" s="2" t="s">
        <v>103</v>
      </c>
    </row>
    <row r="23" spans="1:28" x14ac:dyDescent="0.25">
      <c r="B23" t="s">
        <v>149</v>
      </c>
      <c r="C23" t="s">
        <v>90</v>
      </c>
    </row>
    <row r="24" spans="1:28" x14ac:dyDescent="0.25">
      <c r="B24" t="s">
        <v>150</v>
      </c>
    </row>
    <row r="25" spans="1:28" x14ac:dyDescent="0.25">
      <c r="B25" t="s">
        <v>151</v>
      </c>
    </row>
    <row r="26" spans="1:28" x14ac:dyDescent="0.25">
      <c r="B26" t="s">
        <v>152</v>
      </c>
      <c r="C26" t="s">
        <v>153</v>
      </c>
    </row>
    <row r="27" spans="1:28" x14ac:dyDescent="0.25">
      <c r="B27" t="s">
        <v>154</v>
      </c>
      <c r="C27" t="s">
        <v>155</v>
      </c>
    </row>
    <row r="28" spans="1:28" x14ac:dyDescent="0.25">
      <c r="B28" t="s">
        <v>156</v>
      </c>
    </row>
    <row r="29" spans="1:28" x14ac:dyDescent="0.25">
      <c r="B29" t="s">
        <v>157</v>
      </c>
      <c r="C29" t="s">
        <v>94</v>
      </c>
    </row>
    <row r="30" spans="1:28" x14ac:dyDescent="0.25">
      <c r="B30" t="s">
        <v>158</v>
      </c>
      <c r="C30" t="s">
        <v>95</v>
      </c>
    </row>
    <row r="31" spans="1:28" x14ac:dyDescent="0.25">
      <c r="B31" t="s">
        <v>159</v>
      </c>
      <c r="C31" t="s">
        <v>96</v>
      </c>
    </row>
    <row r="32" spans="1:28" x14ac:dyDescent="0.25">
      <c r="B32" t="s">
        <v>160</v>
      </c>
      <c r="C32" t="s">
        <v>161</v>
      </c>
    </row>
    <row r="33" spans="2:3" x14ac:dyDescent="0.25">
      <c r="B33" t="s">
        <v>162</v>
      </c>
      <c r="C33" t="s">
        <v>163</v>
      </c>
    </row>
    <row r="34" spans="2:3" x14ac:dyDescent="0.25">
      <c r="B34" t="s">
        <v>164</v>
      </c>
    </row>
    <row r="35" spans="2:3" x14ac:dyDescent="0.25">
      <c r="B35" t="s">
        <v>165</v>
      </c>
    </row>
    <row r="36" spans="2:3" x14ac:dyDescent="0.25">
      <c r="B36" t="s">
        <v>166</v>
      </c>
    </row>
    <row r="37" spans="2:3" x14ac:dyDescent="0.25">
      <c r="B37" t="s">
        <v>167</v>
      </c>
    </row>
    <row r="38" spans="2:3" x14ac:dyDescent="0.25">
      <c r="B38" t="s">
        <v>168</v>
      </c>
    </row>
    <row r="39" spans="2:3" x14ac:dyDescent="0.25">
      <c r="B39" t="s">
        <v>169</v>
      </c>
    </row>
    <row r="40" spans="2:3" x14ac:dyDescent="0.25">
      <c r="B40" t="s">
        <v>170</v>
      </c>
    </row>
    <row r="41" spans="2:3" x14ac:dyDescent="0.25">
      <c r="B41" t="s">
        <v>171</v>
      </c>
    </row>
    <row r="42" spans="2:3" x14ac:dyDescent="0.25">
      <c r="B42" t="s">
        <v>172</v>
      </c>
    </row>
    <row r="43" spans="2:3" x14ac:dyDescent="0.25">
      <c r="B43" t="s">
        <v>173</v>
      </c>
      <c r="C43" t="s">
        <v>174</v>
      </c>
    </row>
    <row r="44" spans="2:3" x14ac:dyDescent="0.25">
      <c r="B44" t="s">
        <v>175</v>
      </c>
      <c r="C44" t="s">
        <v>176</v>
      </c>
    </row>
    <row r="45" spans="2:3" x14ac:dyDescent="0.25">
      <c r="B45" t="s">
        <v>177</v>
      </c>
      <c r="C45" t="s">
        <v>101</v>
      </c>
    </row>
    <row r="46" spans="2:3" x14ac:dyDescent="0.25">
      <c r="B46" t="s">
        <v>178</v>
      </c>
      <c r="C46" t="s">
        <v>155</v>
      </c>
    </row>
    <row r="47" spans="2:3" x14ac:dyDescent="0.25">
      <c r="B47" t="s">
        <v>179</v>
      </c>
      <c r="C47" t="s">
        <v>180</v>
      </c>
    </row>
    <row r="48" spans="2:3" x14ac:dyDescent="0.25">
      <c r="B48" t="s">
        <v>181</v>
      </c>
      <c r="C48">
        <v>85764</v>
      </c>
    </row>
    <row r="49" spans="2:3" x14ac:dyDescent="0.25">
      <c r="B49" t="s">
        <v>182</v>
      </c>
      <c r="C49">
        <v>2115594</v>
      </c>
    </row>
    <row r="50" spans="2:3" x14ac:dyDescent="0.25">
      <c r="B50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F161-790F-4C9F-8C9E-20F6A50C333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Blad2</vt:lpstr>
      <vt:lpstr>Sheet1</vt:lpstr>
      <vt:lpstr>Blad1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 Gerits</cp:lastModifiedBy>
  <dcterms:created xsi:type="dcterms:W3CDTF">2025-09-12T22:01:39Z</dcterms:created>
  <dcterms:modified xsi:type="dcterms:W3CDTF">2025-09-25T14:00:00Z</dcterms:modified>
</cp:coreProperties>
</file>