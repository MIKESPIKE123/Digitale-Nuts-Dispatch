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129\Downloads\opmeetapp _BOAB\"/>
    </mc:Choice>
  </mc:AlternateContent>
  <xr:revisionPtr revIDLastSave="0" documentId="13_ncr:1_{9B933746-0E71-48DB-A15E-81817F32C482}" xr6:coauthVersionLast="47" xr6:coauthVersionMax="47" xr10:uidLastSave="{00000000-0000-0000-0000-000000000000}"/>
  <bookViews>
    <workbookView xWindow="66495" yWindow="0" windowWidth="12810" windowHeight="15135" xr2:uid="{E4EBF25F-37AC-4132-A4DD-DD190D10DE53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0" i="1" l="1"/>
  <c r="R59" i="1"/>
  <c r="R58" i="1"/>
  <c r="S58" i="1" s="1"/>
  <c r="U58" i="1" s="1"/>
  <c r="R57" i="1"/>
  <c r="R56" i="1"/>
  <c r="S61" i="1" l="1"/>
  <c r="U61" i="1" s="1"/>
  <c r="U62" i="1"/>
  <c r="G60" i="1" l="1"/>
  <c r="G59" i="1"/>
  <c r="G58" i="1"/>
  <c r="G57" i="1"/>
  <c r="G56" i="1"/>
  <c r="T45" i="1"/>
  <c r="H58" i="1" l="1"/>
  <c r="J58" i="1" s="1"/>
  <c r="X19" i="1" l="1"/>
  <c r="S7" i="1"/>
  <c r="I20" i="1"/>
  <c r="J20" i="1" s="1"/>
  <c r="I19" i="1"/>
  <c r="J19" i="1" s="1"/>
  <c r="U49" i="1"/>
  <c r="W49" i="1" s="1"/>
  <c r="T43" i="1"/>
  <c r="T42" i="1"/>
  <c r="W37" i="1"/>
  <c r="W36" i="1"/>
  <c r="W35" i="1"/>
  <c r="V29" i="1"/>
  <c r="V30" i="1" s="1"/>
  <c r="V31" i="1" s="1"/>
  <c r="Q19" i="1"/>
  <c r="T15" i="1"/>
  <c r="T14" i="1"/>
  <c r="W13" i="1"/>
  <c r="T13" i="1"/>
  <c r="M13" i="1"/>
  <c r="J13" i="1"/>
  <c r="J14" i="1"/>
  <c r="J15" i="1"/>
  <c r="I7" i="1"/>
  <c r="I8" i="1" s="1"/>
  <c r="I9" i="1" s="1"/>
  <c r="I11" i="1" s="1"/>
  <c r="U43" i="1" l="1"/>
  <c r="W43" i="1" s="1"/>
  <c r="T16" i="1"/>
  <c r="T17" i="1" s="1"/>
  <c r="W38" i="1"/>
  <c r="W39" i="1" s="1"/>
  <c r="J16" i="1"/>
  <c r="J17" i="1" s="1"/>
  <c r="U46" i="1"/>
  <c r="W46" i="1" s="1"/>
  <c r="H61" i="1"/>
  <c r="J61" i="1" s="1"/>
  <c r="J62" i="1" s="1"/>
  <c r="S8" i="1"/>
  <c r="S9" i="1" s="1"/>
  <c r="V32" i="1"/>
  <c r="I10" i="1"/>
  <c r="W47" i="1" l="1"/>
  <c r="S11" i="1"/>
  <c r="S10" i="1"/>
  <c r="V33" i="1"/>
</calcChain>
</file>

<file path=xl/sharedStrings.xml><?xml version="1.0" encoding="utf-8"?>
<sst xmlns="http://schemas.openxmlformats.org/spreadsheetml/2006/main" count="84" uniqueCount="35">
  <si>
    <t>totaal V +V (reg)</t>
  </si>
  <si>
    <t>V</t>
  </si>
  <si>
    <t>V (reg)</t>
  </si>
  <si>
    <t>offset</t>
  </si>
  <si>
    <t>(=(H7*2+G7*2)*G6+(4*G6*G6))</t>
  </si>
  <si>
    <t>(=G7*H7)</t>
  </si>
  <si>
    <t xml:space="preserve">Formule </t>
  </si>
  <si>
    <t xml:space="preserve">Oppevlakte </t>
  </si>
  <si>
    <t xml:space="preserve">PRIJS </t>
  </si>
  <si>
    <t xml:space="preserve">EHP </t>
  </si>
  <si>
    <t>(=I9*H10)</t>
  </si>
  <si>
    <t>I</t>
  </si>
  <si>
    <t>F</t>
  </si>
  <si>
    <t>G</t>
  </si>
  <si>
    <t>H</t>
  </si>
  <si>
    <t>J</t>
  </si>
  <si>
    <t>(=(H7*2+G7*2)*G6+2*G6*G6))</t>
  </si>
  <si>
    <t>blok 1</t>
  </si>
  <si>
    <t>blok 2</t>
  </si>
  <si>
    <t>blok 3</t>
  </si>
  <si>
    <t>blok 4</t>
  </si>
  <si>
    <t>blok 5</t>
  </si>
  <si>
    <t>Oppervlakte</t>
  </si>
  <si>
    <t xml:space="preserve">Subtotaal </t>
  </si>
  <si>
    <t>EHP</t>
  </si>
  <si>
    <t>EURO</t>
  </si>
  <si>
    <t xml:space="preserve">VRIJ VIERKANT </t>
  </si>
  <si>
    <t>Blok 2</t>
  </si>
  <si>
    <t>Blok 3</t>
  </si>
  <si>
    <t>Blok 4</t>
  </si>
  <si>
    <t>Blok 5</t>
  </si>
  <si>
    <t>B</t>
  </si>
  <si>
    <t>#</t>
  </si>
  <si>
    <t xml:space="preserve">TEST </t>
  </si>
  <si>
    <t xml:space="preserve">TEST 1: offset aan aansluitende vlakken mag niet doorlopen. V offset krijgt voorrang op H offset.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</si>
</sst>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44" fontId="0" fillId="2" borderId="1" xfId="1" applyFont="1" applyFill="1" applyBorder="1"/>
    <xf numFmtId="44" fontId="0" fillId="3" borderId="1" xfId="1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1" fillId="0" borderId="0" xfId="0" applyFont="1" applyBorder="1"/>
    <xf numFmtId="44" fontId="0" fillId="0" borderId="0" xfId="1" applyFont="1" applyBorder="1"/>
    <xf numFmtId="44" fontId="6" fillId="0" borderId="0" xfId="1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2">
    <cellStyle name="Standaard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314778</xdr:colOff>
      <xdr:row>61</xdr:row>
      <xdr:rowOff>184604</xdr:rowOff>
    </xdr:from>
    <xdr:to>
      <xdr:col>5</xdr:col>
      <xdr:colOff>153437</xdr:colOff>
      <xdr:row>77</xdr:row>
      <xdr:rowOff>94513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2C7C64B3-AF8A-DB9C-29D1-03CA588C6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0207" y="11904890"/>
          <a:ext cx="2274338" cy="3030480"/>
        </a:xfrm>
        <a:prstGeom prst="rect">
          <a:avLst/>
        </a:prstGeom>
      </xdr:spPr>
    </xdr:pic>
    <xdr:clientData/>
  </xdr:twoCellAnchor>
  <xdr:oneCellAnchor>
    <xdr:from>
      <xdr:col>12</xdr:col>
      <xdr:colOff>314778</xdr:colOff>
      <xdr:row>61</xdr:row>
      <xdr:rowOff>184604</xdr:rowOff>
    </xdr:from>
    <xdr:ext cx="2287945" cy="3039552"/>
    <xdr:pic>
      <xdr:nvPicPr>
        <xdr:cNvPr id="4" name="Afbeelding 3">
          <a:extLst>
            <a:ext uri="{FF2B5EF4-FFF2-40B4-BE49-F238E27FC236}">
              <a16:creationId xmlns:a16="http://schemas.microsoft.com/office/drawing/2014/main" id="{08DBD435-2B63-4287-B0F3-B89DF61BF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2778" y="11927568"/>
          <a:ext cx="2287945" cy="303955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3966-CA94-488B-97DA-7C4130706804}">
  <dimension ref="B2:X79"/>
  <sheetViews>
    <sheetView tabSelected="1" topLeftCell="A56" zoomScale="70" zoomScaleNormal="70" workbookViewId="0">
      <selection activeCell="M52" sqref="M52"/>
    </sheetView>
  </sheetViews>
  <sheetFormatPr defaultRowHeight="15" x14ac:dyDescent="0.25"/>
  <cols>
    <col min="9" max="9" width="13" customWidth="1"/>
    <col min="19" max="19" width="17.7109375" customWidth="1"/>
    <col min="20" max="20" width="10.7109375" customWidth="1"/>
    <col min="25" max="25" width="9.28515625" bestFit="1" customWidth="1"/>
    <col min="26" max="26" width="13.42578125" bestFit="1" customWidth="1"/>
  </cols>
  <sheetData>
    <row r="2" spans="5:23" x14ac:dyDescent="0.25">
      <c r="G2" s="7" t="s">
        <v>26</v>
      </c>
    </row>
    <row r="4" spans="5:23" x14ac:dyDescent="0.25">
      <c r="F4" s="7" t="s">
        <v>12</v>
      </c>
      <c r="G4" s="7" t="s">
        <v>13</v>
      </c>
      <c r="H4" s="7" t="s">
        <v>14</v>
      </c>
      <c r="I4" s="7" t="s">
        <v>11</v>
      </c>
      <c r="J4" s="7" t="s">
        <v>15</v>
      </c>
      <c r="P4" s="7" t="s">
        <v>12</v>
      </c>
      <c r="Q4" s="7" t="s">
        <v>13</v>
      </c>
      <c r="R4" s="7" t="s">
        <v>14</v>
      </c>
      <c r="S4" s="7" t="s">
        <v>11</v>
      </c>
      <c r="T4" s="7" t="s">
        <v>15</v>
      </c>
    </row>
    <row r="5" spans="5:23" x14ac:dyDescent="0.25">
      <c r="I5" t="s">
        <v>7</v>
      </c>
      <c r="J5" t="s">
        <v>6</v>
      </c>
      <c r="S5" t="s">
        <v>7</v>
      </c>
      <c r="T5" t="s">
        <v>6</v>
      </c>
    </row>
    <row r="6" spans="5:23" x14ac:dyDescent="0.25">
      <c r="E6" s="7">
        <v>6</v>
      </c>
      <c r="F6" t="s">
        <v>3</v>
      </c>
      <c r="G6" s="1">
        <v>0.3</v>
      </c>
      <c r="H6" s="2"/>
      <c r="I6" s="7"/>
      <c r="O6" s="7">
        <v>6</v>
      </c>
      <c r="P6" t="s">
        <v>3</v>
      </c>
      <c r="Q6" s="1">
        <v>0.3</v>
      </c>
      <c r="R6" s="2"/>
      <c r="S6" s="7"/>
    </row>
    <row r="7" spans="5:23" x14ac:dyDescent="0.25">
      <c r="E7" s="7">
        <v>7</v>
      </c>
      <c r="F7" t="s">
        <v>1</v>
      </c>
      <c r="G7" s="3">
        <v>1</v>
      </c>
      <c r="H7" s="4">
        <v>1</v>
      </c>
      <c r="I7" s="7">
        <f>G7*H7</f>
        <v>1</v>
      </c>
      <c r="J7" t="s">
        <v>5</v>
      </c>
      <c r="O7" s="7">
        <v>7</v>
      </c>
      <c r="P7" t="s">
        <v>1</v>
      </c>
      <c r="Q7" s="3">
        <v>7.25</v>
      </c>
      <c r="R7" s="4">
        <v>0.75</v>
      </c>
      <c r="S7" s="7">
        <f>Q7*R7</f>
        <v>5.4375</v>
      </c>
      <c r="T7" t="s">
        <v>5</v>
      </c>
    </row>
    <row r="8" spans="5:23" x14ac:dyDescent="0.25">
      <c r="E8" s="7">
        <v>8</v>
      </c>
      <c r="F8" t="s">
        <v>2</v>
      </c>
      <c r="G8" s="3"/>
      <c r="H8" s="4"/>
      <c r="I8" s="7">
        <f>(G7+G6+G6)*(H7+G6+G6)-I7</f>
        <v>1.5600000000000005</v>
      </c>
      <c r="J8" t="s">
        <v>4</v>
      </c>
      <c r="O8" s="7">
        <v>8</v>
      </c>
      <c r="P8" t="s">
        <v>2</v>
      </c>
      <c r="Q8" s="3"/>
      <c r="R8" s="4"/>
      <c r="S8" s="7">
        <f>(Q7+Q6+Q6)*(R7+Q6+Q6)-S7</f>
        <v>5.16</v>
      </c>
      <c r="T8" t="s">
        <v>4</v>
      </c>
    </row>
    <row r="9" spans="5:23" x14ac:dyDescent="0.25">
      <c r="E9" s="7">
        <v>9</v>
      </c>
      <c r="F9" t="s">
        <v>0</v>
      </c>
      <c r="G9" s="3"/>
      <c r="H9" s="4"/>
      <c r="I9" s="7">
        <f>I7+I8</f>
        <v>2.5600000000000005</v>
      </c>
      <c r="O9" s="7">
        <v>9</v>
      </c>
      <c r="P9" t="s">
        <v>0</v>
      </c>
      <c r="Q9" s="3"/>
      <c r="R9" s="4"/>
      <c r="S9" s="7">
        <f>S7+S8</f>
        <v>10.5975</v>
      </c>
    </row>
    <row r="10" spans="5:23" ht="18.75" x14ac:dyDescent="0.3">
      <c r="E10" s="7">
        <v>10</v>
      </c>
      <c r="F10" t="s">
        <v>8</v>
      </c>
      <c r="G10" s="5" t="s">
        <v>9</v>
      </c>
      <c r="H10" s="6">
        <v>148.76</v>
      </c>
      <c r="I10" s="8">
        <f>I9*H10</f>
        <v>380.82560000000007</v>
      </c>
      <c r="J10" t="s">
        <v>10</v>
      </c>
      <c r="O10" s="7">
        <v>10</v>
      </c>
      <c r="P10" t="s">
        <v>8</v>
      </c>
      <c r="Q10" s="5" t="s">
        <v>9</v>
      </c>
      <c r="R10" s="6">
        <v>99.17</v>
      </c>
      <c r="S10" s="8">
        <f>S9*R10</f>
        <v>1050.9540750000001</v>
      </c>
      <c r="T10" t="s">
        <v>10</v>
      </c>
    </row>
    <row r="11" spans="5:23" ht="18.75" x14ac:dyDescent="0.3">
      <c r="H11">
        <v>180</v>
      </c>
      <c r="I11" s="8">
        <f>I9*H11</f>
        <v>460.80000000000007</v>
      </c>
      <c r="R11">
        <v>120</v>
      </c>
      <c r="S11" s="8">
        <f>S9*R11</f>
        <v>1271.7</v>
      </c>
    </row>
    <row r="13" spans="5:23" x14ac:dyDescent="0.25">
      <c r="G13">
        <v>1</v>
      </c>
      <c r="H13">
        <v>1</v>
      </c>
      <c r="I13">
        <v>1</v>
      </c>
      <c r="J13">
        <f>G13*H13*I13</f>
        <v>1</v>
      </c>
      <c r="M13" s="9">
        <f>(1+1.64)*180</f>
        <v>475.19999999999993</v>
      </c>
      <c r="Q13">
        <v>1</v>
      </c>
      <c r="R13">
        <v>1</v>
      </c>
      <c r="S13">
        <v>1</v>
      </c>
      <c r="T13">
        <f>Q13*R13*S13</f>
        <v>1</v>
      </c>
      <c r="W13" s="9">
        <f>(1+1.64)*180</f>
        <v>475.19999999999993</v>
      </c>
    </row>
    <row r="14" spans="5:23" x14ac:dyDescent="0.25">
      <c r="G14">
        <v>4</v>
      </c>
      <c r="H14">
        <v>1</v>
      </c>
      <c r="I14">
        <v>0.3</v>
      </c>
      <c r="J14">
        <f>G14*H14*I14</f>
        <v>1.2</v>
      </c>
      <c r="Q14">
        <v>4</v>
      </c>
      <c r="R14">
        <v>1</v>
      </c>
      <c r="S14">
        <v>0.3</v>
      </c>
      <c r="T14">
        <f>Q14*R14*S14</f>
        <v>1.2</v>
      </c>
    </row>
    <row r="15" spans="5:23" x14ac:dyDescent="0.25">
      <c r="G15">
        <v>4</v>
      </c>
      <c r="H15">
        <v>0.3</v>
      </c>
      <c r="I15">
        <v>0.3</v>
      </c>
      <c r="J15">
        <f>G15*H15*I15</f>
        <v>0.36</v>
      </c>
      <c r="Q15">
        <v>4</v>
      </c>
      <c r="R15">
        <v>0.3</v>
      </c>
      <c r="S15">
        <v>0.3</v>
      </c>
      <c r="T15">
        <f>Q15*R15*S15</f>
        <v>0.36</v>
      </c>
    </row>
    <row r="16" spans="5:23" x14ac:dyDescent="0.25">
      <c r="J16">
        <f>J14+J15+J13</f>
        <v>2.56</v>
      </c>
      <c r="T16">
        <f>T14+T15+T13</f>
        <v>2.56</v>
      </c>
    </row>
    <row r="17" spans="7:24" x14ac:dyDescent="0.25">
      <c r="I17">
        <v>120</v>
      </c>
      <c r="J17">
        <f>(J16)*I17</f>
        <v>307.2</v>
      </c>
      <c r="S17">
        <v>120</v>
      </c>
      <c r="T17">
        <f>(T16)*S17</f>
        <v>307.2</v>
      </c>
    </row>
    <row r="19" spans="7:24" x14ac:dyDescent="0.25">
      <c r="G19">
        <v>1.5</v>
      </c>
      <c r="H19">
        <v>0.3</v>
      </c>
      <c r="I19">
        <f>G19*H19</f>
        <v>0.44999999999999996</v>
      </c>
      <c r="J19">
        <f>I19*4</f>
        <v>1.7999999999999998</v>
      </c>
      <c r="Q19">
        <f>6.6*1.2</f>
        <v>7.919999999999999</v>
      </c>
      <c r="X19">
        <f>0.6*0.3*2</f>
        <v>0.36</v>
      </c>
    </row>
    <row r="20" spans="7:24" x14ac:dyDescent="0.25">
      <c r="G20">
        <v>0.3</v>
      </c>
      <c r="H20">
        <v>0.3</v>
      </c>
      <c r="I20">
        <f>G20*H20</f>
        <v>0.09</v>
      </c>
      <c r="J20">
        <f>I20*4</f>
        <v>0.36</v>
      </c>
    </row>
    <row r="26" spans="7:24" x14ac:dyDescent="0.25">
      <c r="S26" s="7" t="s">
        <v>12</v>
      </c>
      <c r="T26" s="7" t="s">
        <v>13</v>
      </c>
      <c r="U26" s="7" t="s">
        <v>14</v>
      </c>
      <c r="V26" s="7" t="s">
        <v>11</v>
      </c>
      <c r="W26" s="7" t="s">
        <v>15</v>
      </c>
    </row>
    <row r="27" spans="7:24" x14ac:dyDescent="0.25">
      <c r="V27" t="s">
        <v>7</v>
      </c>
      <c r="W27" t="s">
        <v>6</v>
      </c>
    </row>
    <row r="28" spans="7:24" x14ac:dyDescent="0.25">
      <c r="R28" s="7">
        <v>6</v>
      </c>
      <c r="S28" t="s">
        <v>3</v>
      </c>
      <c r="T28" s="1">
        <v>0.3</v>
      </c>
      <c r="U28" s="2"/>
      <c r="V28" s="7"/>
    </row>
    <row r="29" spans="7:24" x14ac:dyDescent="0.25">
      <c r="R29" s="7">
        <v>7</v>
      </c>
      <c r="S29" t="s">
        <v>1</v>
      </c>
      <c r="T29" s="3">
        <v>1</v>
      </c>
      <c r="U29" s="4">
        <v>1</v>
      </c>
      <c r="V29" s="7">
        <f>T29*U29</f>
        <v>1</v>
      </c>
      <c r="W29" t="s">
        <v>5</v>
      </c>
    </row>
    <row r="30" spans="7:24" x14ac:dyDescent="0.25">
      <c r="R30" s="7">
        <v>8</v>
      </c>
      <c r="S30" t="s">
        <v>2</v>
      </c>
      <c r="T30" s="3"/>
      <c r="U30" s="4"/>
      <c r="V30" s="7">
        <f>(1.3*1.3)-V29</f>
        <v>0.69000000000000017</v>
      </c>
      <c r="W30" t="s">
        <v>16</v>
      </c>
    </row>
    <row r="31" spans="7:24" x14ac:dyDescent="0.25">
      <c r="R31" s="7">
        <v>9</v>
      </c>
      <c r="S31" t="s">
        <v>0</v>
      </c>
      <c r="T31" s="3"/>
      <c r="U31" s="4"/>
      <c r="V31" s="7">
        <f>V29+V30</f>
        <v>1.6900000000000002</v>
      </c>
    </row>
    <row r="32" spans="7:24" ht="18.75" x14ac:dyDescent="0.3">
      <c r="R32" s="7">
        <v>10</v>
      </c>
      <c r="S32" t="s">
        <v>8</v>
      </c>
      <c r="T32" s="5" t="s">
        <v>9</v>
      </c>
      <c r="U32" s="6">
        <v>148.76</v>
      </c>
      <c r="V32" s="8">
        <f>V31*U32</f>
        <v>251.40440000000001</v>
      </c>
      <c r="W32" t="s">
        <v>10</v>
      </c>
    </row>
    <row r="33" spans="19:23" ht="18.75" x14ac:dyDescent="0.3">
      <c r="U33">
        <v>180</v>
      </c>
      <c r="V33" s="8">
        <f>V31*U33</f>
        <v>304.20000000000005</v>
      </c>
    </row>
    <row r="35" spans="19:23" x14ac:dyDescent="0.25">
      <c r="T35">
        <v>1</v>
      </c>
      <c r="U35">
        <v>1</v>
      </c>
      <c r="V35">
        <v>1</v>
      </c>
      <c r="W35">
        <f>T35*U35*V35</f>
        <v>1</v>
      </c>
    </row>
    <row r="36" spans="19:23" x14ac:dyDescent="0.25">
      <c r="T36">
        <v>4</v>
      </c>
      <c r="U36">
        <v>1</v>
      </c>
      <c r="V36">
        <v>0.3</v>
      </c>
      <c r="W36">
        <f>T36*U36*V36</f>
        <v>1.2</v>
      </c>
    </row>
    <row r="37" spans="19:23" x14ac:dyDescent="0.25">
      <c r="T37">
        <v>4</v>
      </c>
      <c r="U37">
        <v>0.3</v>
      </c>
      <c r="V37">
        <v>0.3</v>
      </c>
      <c r="W37">
        <f>T37*U37*V37</f>
        <v>0.36</v>
      </c>
    </row>
    <row r="38" spans="19:23" x14ac:dyDescent="0.25">
      <c r="W38">
        <f>W36+W37+W35</f>
        <v>2.56</v>
      </c>
    </row>
    <row r="39" spans="19:23" x14ac:dyDescent="0.25">
      <c r="V39">
        <v>120</v>
      </c>
      <c r="W39">
        <f>(W38)*V39</f>
        <v>307.2</v>
      </c>
    </row>
    <row r="41" spans="19:23" x14ac:dyDescent="0.25">
      <c r="T41" t="s">
        <v>22</v>
      </c>
      <c r="U41" t="s">
        <v>23</v>
      </c>
      <c r="V41" t="s">
        <v>24</v>
      </c>
      <c r="W41" t="s">
        <v>25</v>
      </c>
    </row>
    <row r="42" spans="19:23" x14ac:dyDescent="0.25">
      <c r="S42" s="11" t="s">
        <v>17</v>
      </c>
      <c r="T42" s="11">
        <f>1*1</f>
        <v>1</v>
      </c>
      <c r="U42" s="11"/>
      <c r="V42" s="11"/>
      <c r="W42" s="11"/>
    </row>
    <row r="43" spans="19:23" x14ac:dyDescent="0.25">
      <c r="S43" s="11" t="s">
        <v>18</v>
      </c>
      <c r="T43" s="11">
        <f>0.3*1.3</f>
        <v>0.39</v>
      </c>
      <c r="U43" s="11">
        <f>T42+T43</f>
        <v>1.3900000000000001</v>
      </c>
      <c r="V43" s="11">
        <v>180</v>
      </c>
      <c r="W43" s="11">
        <f>U43*V43</f>
        <v>250.20000000000002</v>
      </c>
    </row>
    <row r="44" spans="19:23" x14ac:dyDescent="0.25">
      <c r="S44" s="11" t="s">
        <v>19</v>
      </c>
      <c r="T44" s="11">
        <v>1</v>
      </c>
      <c r="U44" s="11"/>
      <c r="V44" s="11"/>
      <c r="W44" s="11"/>
    </row>
    <row r="45" spans="19:23" x14ac:dyDescent="0.25">
      <c r="S45" s="11" t="s">
        <v>20</v>
      </c>
      <c r="T45" s="11">
        <f>1*0.3*3</f>
        <v>0.89999999999999991</v>
      </c>
      <c r="U45" s="11"/>
      <c r="V45" s="11"/>
      <c r="W45" s="11"/>
    </row>
    <row r="46" spans="19:23" x14ac:dyDescent="0.25">
      <c r="S46" s="11" t="s">
        <v>21</v>
      </c>
      <c r="T46" s="11"/>
      <c r="U46" s="11">
        <f>T46+T45+T44</f>
        <v>1.9</v>
      </c>
      <c r="V46" s="11">
        <v>120</v>
      </c>
      <c r="W46" s="11">
        <f>U46*V46</f>
        <v>228</v>
      </c>
    </row>
    <row r="47" spans="19:23" ht="21" x14ac:dyDescent="0.35">
      <c r="W47" s="10">
        <f>W46+W43</f>
        <v>478.20000000000005</v>
      </c>
    </row>
    <row r="49" spans="2:23" x14ac:dyDescent="0.25">
      <c r="U49">
        <f>0.3*0.3</f>
        <v>0.09</v>
      </c>
      <c r="V49" s="11">
        <v>180</v>
      </c>
      <c r="W49" s="11">
        <f>U49*V49</f>
        <v>16.2</v>
      </c>
    </row>
    <row r="52" spans="2:23" ht="15.75" thickBot="1" x14ac:dyDescent="0.3">
      <c r="B52" t="s">
        <v>34</v>
      </c>
      <c r="M52" t="s">
        <v>33</v>
      </c>
    </row>
    <row r="53" spans="2:23" x14ac:dyDescent="0.25">
      <c r="B53" s="16"/>
      <c r="C53" s="17"/>
      <c r="D53" s="17"/>
      <c r="E53" s="17"/>
      <c r="F53" s="17"/>
      <c r="G53" s="17"/>
      <c r="H53" s="17"/>
      <c r="I53" s="17"/>
      <c r="J53" s="17"/>
      <c r="K53" s="18"/>
      <c r="M53" s="16"/>
      <c r="N53" s="17"/>
      <c r="O53" s="17"/>
      <c r="P53" s="17"/>
      <c r="Q53" s="17"/>
      <c r="R53" s="17"/>
      <c r="S53" s="17"/>
      <c r="T53" s="17"/>
      <c r="U53" s="17"/>
      <c r="V53" s="18"/>
    </row>
    <row r="54" spans="2:23" x14ac:dyDescent="0.25">
      <c r="B54" s="19"/>
      <c r="C54" s="20"/>
      <c r="D54" s="20"/>
      <c r="E54" s="20"/>
      <c r="F54" s="20"/>
      <c r="G54" s="20"/>
      <c r="H54" s="20"/>
      <c r="I54" s="20"/>
      <c r="J54" s="20"/>
      <c r="K54" s="21"/>
      <c r="M54" s="19"/>
      <c r="N54" s="20"/>
      <c r="O54" s="20"/>
      <c r="P54" s="20"/>
      <c r="Q54" s="20"/>
      <c r="R54" s="20"/>
      <c r="S54" s="20"/>
      <c r="T54" s="20"/>
      <c r="U54" s="20"/>
      <c r="V54" s="21"/>
    </row>
    <row r="55" spans="2:23" x14ac:dyDescent="0.25">
      <c r="B55" s="19"/>
      <c r="C55" s="22"/>
      <c r="D55" s="22" t="s">
        <v>31</v>
      </c>
      <c r="E55" s="22" t="s">
        <v>14</v>
      </c>
      <c r="F55" s="22" t="s">
        <v>32</v>
      </c>
      <c r="G55" s="22" t="s">
        <v>22</v>
      </c>
      <c r="H55" s="22" t="s">
        <v>23</v>
      </c>
      <c r="I55" s="22" t="s">
        <v>24</v>
      </c>
      <c r="J55" s="22" t="s">
        <v>25</v>
      </c>
      <c r="K55" s="21"/>
      <c r="M55" s="19"/>
      <c r="N55" s="22"/>
      <c r="O55" s="22" t="s">
        <v>31</v>
      </c>
      <c r="P55" s="22" t="s">
        <v>14</v>
      </c>
      <c r="Q55" s="22" t="s">
        <v>32</v>
      </c>
      <c r="R55" s="22" t="s">
        <v>22</v>
      </c>
      <c r="S55" s="22" t="s">
        <v>23</v>
      </c>
      <c r="T55" s="22" t="s">
        <v>24</v>
      </c>
      <c r="U55" s="22" t="s">
        <v>25</v>
      </c>
      <c r="V55" s="21"/>
    </row>
    <row r="56" spans="2:23" x14ac:dyDescent="0.25">
      <c r="B56" s="19"/>
      <c r="C56" s="12" t="s">
        <v>17</v>
      </c>
      <c r="D56" s="12">
        <v>1</v>
      </c>
      <c r="E56" s="12">
        <v>1</v>
      </c>
      <c r="F56" s="12">
        <v>1</v>
      </c>
      <c r="G56" s="12">
        <f>D56*E56*F56</f>
        <v>1</v>
      </c>
      <c r="H56" s="12"/>
      <c r="I56" s="12"/>
      <c r="J56" s="12"/>
      <c r="K56" s="21"/>
      <c r="M56" s="19"/>
      <c r="N56" s="12" t="s">
        <v>17</v>
      </c>
      <c r="O56" s="12">
        <v>1</v>
      </c>
      <c r="P56" s="12">
        <v>1</v>
      </c>
      <c r="Q56" s="12">
        <v>1</v>
      </c>
      <c r="R56" s="12">
        <f>O56*P56*Q56</f>
        <v>1</v>
      </c>
      <c r="S56" s="12"/>
      <c r="T56" s="12"/>
      <c r="U56" s="12"/>
      <c r="V56" s="21"/>
    </row>
    <row r="57" spans="2:23" x14ac:dyDescent="0.25">
      <c r="B57" s="19"/>
      <c r="C57" s="12" t="s">
        <v>27</v>
      </c>
      <c r="D57" s="12">
        <v>0.3</v>
      </c>
      <c r="E57" s="12">
        <v>0.3</v>
      </c>
      <c r="F57" s="12">
        <v>4</v>
      </c>
      <c r="G57" s="12">
        <f>D57*E57*F57</f>
        <v>0.36</v>
      </c>
      <c r="H57" s="12"/>
      <c r="I57" s="12"/>
      <c r="J57" s="12"/>
      <c r="K57" s="21"/>
      <c r="M57" s="19"/>
      <c r="N57" s="12" t="s">
        <v>27</v>
      </c>
      <c r="O57" s="12">
        <v>0.3</v>
      </c>
      <c r="P57" s="12">
        <v>0.3</v>
      </c>
      <c r="Q57" s="12">
        <v>4</v>
      </c>
      <c r="R57" s="12">
        <f>O57*P57*Q57</f>
        <v>0.36</v>
      </c>
      <c r="S57" s="12"/>
      <c r="T57" s="12"/>
      <c r="U57" s="12"/>
      <c r="V57" s="21"/>
    </row>
    <row r="58" spans="2:23" x14ac:dyDescent="0.25">
      <c r="B58" s="19"/>
      <c r="C58" s="12" t="s">
        <v>28</v>
      </c>
      <c r="D58" s="12">
        <v>1</v>
      </c>
      <c r="E58" s="12">
        <v>0.3</v>
      </c>
      <c r="F58" s="12">
        <v>3</v>
      </c>
      <c r="G58" s="12">
        <f>D58*E58*F58</f>
        <v>0.89999999999999991</v>
      </c>
      <c r="H58" s="12">
        <f>G58+G56+G57</f>
        <v>2.2599999999999998</v>
      </c>
      <c r="I58" s="14">
        <v>180</v>
      </c>
      <c r="J58" s="14">
        <f>H58*I58</f>
        <v>406.79999999999995</v>
      </c>
      <c r="K58" s="21"/>
      <c r="M58" s="19"/>
      <c r="N58" s="12" t="s">
        <v>28</v>
      </c>
      <c r="O58" s="12">
        <v>1</v>
      </c>
      <c r="P58" s="12">
        <v>0.3</v>
      </c>
      <c r="Q58" s="12">
        <v>3</v>
      </c>
      <c r="R58" s="12">
        <f>O58*P58*Q58</f>
        <v>0.89999999999999991</v>
      </c>
      <c r="S58" s="12">
        <f>R58+R56+R57</f>
        <v>2.2599999999999998</v>
      </c>
      <c r="T58" s="14">
        <v>180</v>
      </c>
      <c r="U58" s="14">
        <f>S58*T58</f>
        <v>406.79999999999995</v>
      </c>
      <c r="V58" s="21"/>
    </row>
    <row r="59" spans="2:23" x14ac:dyDescent="0.25">
      <c r="B59" s="19"/>
      <c r="C59" s="13" t="s">
        <v>29</v>
      </c>
      <c r="D59" s="13">
        <v>1</v>
      </c>
      <c r="E59" s="13">
        <v>1</v>
      </c>
      <c r="F59" s="13">
        <v>1</v>
      </c>
      <c r="G59" s="13">
        <f>D59*E59*F59</f>
        <v>1</v>
      </c>
      <c r="H59" s="13"/>
      <c r="I59" s="15"/>
      <c r="J59" s="15"/>
      <c r="K59" s="21"/>
      <c r="M59" s="19"/>
      <c r="N59" s="13" t="s">
        <v>29</v>
      </c>
      <c r="O59" s="13">
        <v>1</v>
      </c>
      <c r="P59" s="13">
        <v>1</v>
      </c>
      <c r="Q59" s="13">
        <v>1</v>
      </c>
      <c r="R59" s="13">
        <f>O59*P59*Q59</f>
        <v>1</v>
      </c>
      <c r="S59" s="13"/>
      <c r="T59" s="15"/>
      <c r="U59" s="15"/>
      <c r="V59" s="21"/>
    </row>
    <row r="60" spans="2:23" x14ac:dyDescent="0.25">
      <c r="B60" s="19"/>
      <c r="C60" s="13" t="s">
        <v>30</v>
      </c>
      <c r="D60" s="13">
        <v>1</v>
      </c>
      <c r="E60" s="13">
        <v>0.3</v>
      </c>
      <c r="F60" s="13">
        <v>3</v>
      </c>
      <c r="G60" s="13">
        <f>D60*E60*F60</f>
        <v>0.89999999999999991</v>
      </c>
      <c r="H60" s="13"/>
      <c r="I60" s="15"/>
      <c r="J60" s="15"/>
      <c r="K60" s="21"/>
      <c r="M60" s="19"/>
      <c r="N60" s="13" t="s">
        <v>30</v>
      </c>
      <c r="O60" s="13">
        <v>1</v>
      </c>
      <c r="P60" s="13">
        <v>0.3</v>
      </c>
      <c r="Q60" s="13">
        <v>3</v>
      </c>
      <c r="R60" s="13">
        <f>O60*P60*Q60</f>
        <v>0.89999999999999991</v>
      </c>
      <c r="S60" s="13"/>
      <c r="T60" s="15"/>
      <c r="U60" s="15"/>
      <c r="V60" s="21"/>
    </row>
    <row r="61" spans="2:23" x14ac:dyDescent="0.25">
      <c r="B61" s="19"/>
      <c r="C61" s="13"/>
      <c r="D61" s="13"/>
      <c r="E61" s="13"/>
      <c r="F61" s="13"/>
      <c r="G61" s="13"/>
      <c r="H61" s="13">
        <f>G61+G60+G59</f>
        <v>1.9</v>
      </c>
      <c r="I61" s="15">
        <v>120</v>
      </c>
      <c r="J61" s="15">
        <f>H61*I61</f>
        <v>228</v>
      </c>
      <c r="K61" s="21"/>
      <c r="M61" s="19"/>
      <c r="N61" s="13"/>
      <c r="O61" s="13"/>
      <c r="P61" s="13"/>
      <c r="Q61" s="13"/>
      <c r="R61" s="13"/>
      <c r="S61" s="13">
        <f>R61+R60+R59</f>
        <v>1.9</v>
      </c>
      <c r="T61" s="15">
        <v>120</v>
      </c>
      <c r="U61" s="15">
        <f>S61*T61</f>
        <v>228</v>
      </c>
      <c r="V61" s="21"/>
    </row>
    <row r="62" spans="2:23" ht="21" x14ac:dyDescent="0.35">
      <c r="B62" s="19"/>
      <c r="C62" s="20"/>
      <c r="D62" s="20"/>
      <c r="E62" s="20"/>
      <c r="F62" s="20"/>
      <c r="G62" s="20"/>
      <c r="H62" s="20"/>
      <c r="I62" s="23"/>
      <c r="J62" s="24">
        <f>J61+J58</f>
        <v>634.79999999999995</v>
      </c>
      <c r="K62" s="21"/>
      <c r="M62" s="19"/>
      <c r="N62" s="20"/>
      <c r="O62" s="20"/>
      <c r="P62" s="20"/>
      <c r="Q62" s="20"/>
      <c r="R62" s="20"/>
      <c r="S62" s="20"/>
      <c r="T62" s="23"/>
      <c r="U62" s="24">
        <f>U61+U58</f>
        <v>634.79999999999995</v>
      </c>
      <c r="V62" s="21"/>
    </row>
    <row r="63" spans="2:23" x14ac:dyDescent="0.25">
      <c r="B63" s="19"/>
      <c r="C63" s="20"/>
      <c r="D63" s="20"/>
      <c r="E63" s="20"/>
      <c r="F63" s="20"/>
      <c r="G63" s="20"/>
      <c r="H63" s="20"/>
      <c r="I63" s="20"/>
      <c r="J63" s="20"/>
      <c r="K63" s="21"/>
      <c r="M63" s="19"/>
      <c r="N63" s="20"/>
      <c r="O63" s="20"/>
      <c r="P63" s="20"/>
      <c r="Q63" s="20"/>
      <c r="R63" s="20"/>
      <c r="S63" s="20"/>
      <c r="T63" s="20"/>
      <c r="U63" s="20"/>
      <c r="V63" s="21"/>
    </row>
    <row r="64" spans="2:23" x14ac:dyDescent="0.25">
      <c r="B64" s="19"/>
      <c r="C64" s="20"/>
      <c r="D64" s="20"/>
      <c r="E64" s="20"/>
      <c r="F64" s="20"/>
      <c r="G64" s="20"/>
      <c r="H64" s="20"/>
      <c r="I64" s="11"/>
      <c r="J64" s="11"/>
      <c r="K64" s="21"/>
      <c r="M64" s="19"/>
      <c r="N64" s="20"/>
      <c r="O64" s="20"/>
      <c r="P64" s="20"/>
      <c r="Q64" s="20"/>
      <c r="R64" s="20"/>
      <c r="S64" s="20"/>
      <c r="T64" s="11"/>
      <c r="U64" s="11"/>
      <c r="V64" s="21"/>
    </row>
    <row r="65" spans="2:22" x14ac:dyDescent="0.25">
      <c r="B65" s="19"/>
      <c r="C65" s="20"/>
      <c r="D65" s="20"/>
      <c r="E65" s="20"/>
      <c r="F65" s="20"/>
      <c r="G65" s="20"/>
      <c r="H65" s="20"/>
      <c r="I65" s="20"/>
      <c r="J65" s="20"/>
      <c r="K65" s="21"/>
      <c r="M65" s="19"/>
      <c r="N65" s="20"/>
      <c r="O65" s="20"/>
      <c r="P65" s="20"/>
      <c r="Q65" s="20"/>
      <c r="R65" s="20"/>
      <c r="S65" s="20"/>
      <c r="T65" s="20"/>
      <c r="U65" s="20"/>
      <c r="V65" s="21"/>
    </row>
    <row r="66" spans="2:22" x14ac:dyDescent="0.25">
      <c r="B66" s="19"/>
      <c r="C66" s="20"/>
      <c r="D66" s="20"/>
      <c r="E66" s="20"/>
      <c r="F66" s="20"/>
      <c r="G66" s="20"/>
      <c r="H66" s="20"/>
      <c r="I66" s="20"/>
      <c r="J66" s="20"/>
      <c r="K66" s="21"/>
      <c r="M66" s="19"/>
      <c r="N66" s="20"/>
      <c r="O66" s="20"/>
      <c r="P66" s="20"/>
      <c r="Q66" s="20"/>
      <c r="R66" s="20"/>
      <c r="S66" s="20"/>
      <c r="T66" s="20"/>
      <c r="U66" s="20"/>
      <c r="V66" s="21"/>
    </row>
    <row r="67" spans="2:22" x14ac:dyDescent="0.25">
      <c r="B67" s="19"/>
      <c r="C67" s="20"/>
      <c r="D67" s="20"/>
      <c r="E67" s="20"/>
      <c r="F67" s="20"/>
      <c r="G67" s="20"/>
      <c r="H67" s="20"/>
      <c r="I67" s="20"/>
      <c r="J67" s="20"/>
      <c r="K67" s="21"/>
      <c r="M67" s="19"/>
      <c r="N67" s="20"/>
      <c r="O67" s="20"/>
      <c r="P67" s="20"/>
      <c r="Q67" s="20"/>
      <c r="R67" s="20"/>
      <c r="S67" s="20"/>
      <c r="T67" s="20"/>
      <c r="U67" s="20"/>
      <c r="V67" s="21"/>
    </row>
    <row r="68" spans="2:22" x14ac:dyDescent="0.25">
      <c r="B68" s="19"/>
      <c r="C68" s="20"/>
      <c r="D68" s="20"/>
      <c r="E68" s="20"/>
      <c r="F68" s="20"/>
      <c r="G68" s="20"/>
      <c r="H68" s="20"/>
      <c r="I68" s="20"/>
      <c r="J68" s="20"/>
      <c r="K68" s="21"/>
      <c r="M68" s="19"/>
      <c r="N68" s="20"/>
      <c r="O68" s="20"/>
      <c r="P68" s="20"/>
      <c r="Q68" s="20"/>
      <c r="R68" s="20"/>
      <c r="S68" s="20"/>
      <c r="T68" s="20"/>
      <c r="U68" s="20"/>
      <c r="V68" s="21"/>
    </row>
    <row r="69" spans="2:22" x14ac:dyDescent="0.25">
      <c r="B69" s="19"/>
      <c r="C69" s="20"/>
      <c r="D69" s="20"/>
      <c r="E69" s="20"/>
      <c r="F69" s="20"/>
      <c r="G69" s="20"/>
      <c r="H69" s="20"/>
      <c r="I69" s="20"/>
      <c r="J69" s="20"/>
      <c r="K69" s="21"/>
      <c r="M69" s="19"/>
      <c r="N69" s="20"/>
      <c r="O69" s="20"/>
      <c r="P69" s="20"/>
      <c r="Q69" s="20"/>
      <c r="R69" s="20"/>
      <c r="S69" s="20"/>
      <c r="T69" s="20"/>
      <c r="U69" s="20"/>
      <c r="V69" s="21"/>
    </row>
    <row r="70" spans="2:22" x14ac:dyDescent="0.25">
      <c r="B70" s="19"/>
      <c r="C70" s="20"/>
      <c r="D70" s="20"/>
      <c r="E70" s="20"/>
      <c r="F70" s="20"/>
      <c r="G70" s="20"/>
      <c r="H70" s="20"/>
      <c r="I70" s="20"/>
      <c r="J70" s="20"/>
      <c r="K70" s="21"/>
      <c r="M70" s="19"/>
      <c r="N70" s="20"/>
      <c r="O70" s="20"/>
      <c r="P70" s="20"/>
      <c r="Q70" s="20"/>
      <c r="R70" s="20"/>
      <c r="S70" s="20"/>
      <c r="T70" s="20"/>
      <c r="U70" s="20"/>
      <c r="V70" s="21"/>
    </row>
    <row r="71" spans="2:22" x14ac:dyDescent="0.25">
      <c r="B71" s="19"/>
      <c r="C71" s="20"/>
      <c r="D71" s="20"/>
      <c r="E71" s="20"/>
      <c r="F71" s="20"/>
      <c r="G71" s="20"/>
      <c r="H71" s="20"/>
      <c r="I71" s="20"/>
      <c r="J71" s="20"/>
      <c r="K71" s="21"/>
      <c r="M71" s="19"/>
      <c r="N71" s="20"/>
      <c r="O71" s="20"/>
      <c r="P71" s="20"/>
      <c r="Q71" s="20"/>
      <c r="R71" s="20"/>
      <c r="S71" s="20"/>
      <c r="T71" s="20"/>
      <c r="U71" s="20"/>
      <c r="V71" s="21"/>
    </row>
    <row r="72" spans="2:22" x14ac:dyDescent="0.25">
      <c r="B72" s="19"/>
      <c r="C72" s="20"/>
      <c r="D72" s="20"/>
      <c r="E72" s="20"/>
      <c r="F72" s="20"/>
      <c r="G72" s="20"/>
      <c r="H72" s="20"/>
      <c r="I72" s="20"/>
      <c r="J72" s="20"/>
      <c r="K72" s="21"/>
      <c r="M72" s="19"/>
      <c r="N72" s="20"/>
      <c r="O72" s="20"/>
      <c r="P72" s="20"/>
      <c r="Q72" s="20"/>
      <c r="R72" s="20"/>
      <c r="S72" s="20"/>
      <c r="T72" s="20"/>
      <c r="U72" s="20"/>
      <c r="V72" s="21"/>
    </row>
    <row r="73" spans="2:22" x14ac:dyDescent="0.25">
      <c r="B73" s="19"/>
      <c r="C73" s="20"/>
      <c r="D73" s="20"/>
      <c r="E73" s="20"/>
      <c r="F73" s="20"/>
      <c r="G73" s="20"/>
      <c r="H73" s="20"/>
      <c r="I73" s="20"/>
      <c r="J73" s="20"/>
      <c r="K73" s="21"/>
      <c r="M73" s="19"/>
      <c r="N73" s="20"/>
      <c r="O73" s="20"/>
      <c r="P73" s="20"/>
      <c r="Q73" s="20"/>
      <c r="R73" s="20"/>
      <c r="S73" s="20"/>
      <c r="T73" s="20"/>
      <c r="U73" s="20"/>
      <c r="V73" s="21"/>
    </row>
    <row r="74" spans="2:22" x14ac:dyDescent="0.25">
      <c r="B74" s="19"/>
      <c r="C74" s="20"/>
      <c r="D74" s="20"/>
      <c r="E74" s="20"/>
      <c r="F74" s="20"/>
      <c r="G74" s="20"/>
      <c r="H74" s="20"/>
      <c r="I74" s="20"/>
      <c r="J74" s="20"/>
      <c r="K74" s="21"/>
      <c r="M74" s="19"/>
      <c r="N74" s="20"/>
      <c r="O74" s="20"/>
      <c r="P74" s="20"/>
      <c r="Q74" s="20"/>
      <c r="R74" s="20"/>
      <c r="S74" s="20"/>
      <c r="T74" s="20"/>
      <c r="U74" s="20"/>
      <c r="V74" s="21"/>
    </row>
    <row r="75" spans="2:22" x14ac:dyDescent="0.25">
      <c r="B75" s="19"/>
      <c r="C75" s="20"/>
      <c r="D75" s="20"/>
      <c r="E75" s="20"/>
      <c r="F75" s="20"/>
      <c r="G75" s="20"/>
      <c r="H75" s="20"/>
      <c r="I75" s="20"/>
      <c r="J75" s="20"/>
      <c r="K75" s="21"/>
      <c r="M75" s="19"/>
      <c r="N75" s="20"/>
      <c r="O75" s="20"/>
      <c r="P75" s="20"/>
      <c r="Q75" s="20"/>
      <c r="R75" s="20"/>
      <c r="S75" s="20"/>
      <c r="T75" s="20"/>
      <c r="U75" s="20"/>
      <c r="V75" s="21"/>
    </row>
    <row r="76" spans="2:22" x14ac:dyDescent="0.25">
      <c r="B76" s="19"/>
      <c r="C76" s="20"/>
      <c r="D76" s="20"/>
      <c r="E76" s="20"/>
      <c r="F76" s="20"/>
      <c r="G76" s="20"/>
      <c r="H76" s="20"/>
      <c r="I76" s="20"/>
      <c r="J76" s="20"/>
      <c r="K76" s="21"/>
      <c r="M76" s="19"/>
      <c r="N76" s="20"/>
      <c r="O76" s="20"/>
      <c r="P76" s="20"/>
      <c r="Q76" s="20"/>
      <c r="R76" s="20"/>
      <c r="S76" s="20"/>
      <c r="T76" s="20"/>
      <c r="U76" s="20"/>
      <c r="V76" s="21"/>
    </row>
    <row r="77" spans="2:22" x14ac:dyDescent="0.25">
      <c r="B77" s="19"/>
      <c r="C77" s="20"/>
      <c r="D77" s="20"/>
      <c r="E77" s="20"/>
      <c r="F77" s="20"/>
      <c r="G77" s="20"/>
      <c r="H77" s="20"/>
      <c r="I77" s="20"/>
      <c r="J77" s="20"/>
      <c r="K77" s="21"/>
      <c r="M77" s="19"/>
      <c r="N77" s="20"/>
      <c r="O77" s="20"/>
      <c r="P77" s="20"/>
      <c r="Q77" s="20"/>
      <c r="R77" s="20"/>
      <c r="S77" s="20"/>
      <c r="T77" s="20"/>
      <c r="U77" s="20"/>
      <c r="V77" s="21"/>
    </row>
    <row r="78" spans="2:22" x14ac:dyDescent="0.25">
      <c r="B78" s="19"/>
      <c r="C78" s="20"/>
      <c r="D78" s="20"/>
      <c r="E78" s="20"/>
      <c r="F78" s="20"/>
      <c r="G78" s="20"/>
      <c r="H78" s="20"/>
      <c r="I78" s="20"/>
      <c r="J78" s="20"/>
      <c r="K78" s="21"/>
      <c r="M78" s="19"/>
      <c r="N78" s="20"/>
      <c r="O78" s="20"/>
      <c r="P78" s="20"/>
      <c r="Q78" s="20"/>
      <c r="R78" s="20"/>
      <c r="S78" s="20"/>
      <c r="T78" s="20"/>
      <c r="U78" s="20"/>
      <c r="V78" s="21"/>
    </row>
    <row r="79" spans="2:22" ht="15.75" thickBot="1" x14ac:dyDescent="0.3">
      <c r="B79" s="25"/>
      <c r="C79" s="26"/>
      <c r="D79" s="26"/>
      <c r="E79" s="26"/>
      <c r="F79" s="26"/>
      <c r="G79" s="26"/>
      <c r="H79" s="26"/>
      <c r="I79" s="26"/>
      <c r="J79" s="26"/>
      <c r="K79" s="27"/>
      <c r="M79" s="25"/>
      <c r="N79" s="26"/>
      <c r="O79" s="26"/>
      <c r="P79" s="26"/>
      <c r="Q79" s="26"/>
      <c r="R79" s="26"/>
      <c r="S79" s="26"/>
      <c r="T79" s="26"/>
      <c r="U79" s="26"/>
      <c r="V79" s="27"/>
    </row>
  </sheetData>
  <phoneticPr fontId="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Gerits</dc:creator>
  <cp:lastModifiedBy>Michel Gerits</cp:lastModifiedBy>
  <dcterms:created xsi:type="dcterms:W3CDTF">2025-08-23T14:21:30Z</dcterms:created>
  <dcterms:modified xsi:type="dcterms:W3CDTF">2025-09-02T08:38:00Z</dcterms:modified>
</cp:coreProperties>
</file>